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 (novas abas)" sheetId="1" r:id="rId4"/>
    <sheet state="visible" name="CPA Atual (por eixo)" sheetId="2" r:id="rId5"/>
    <sheet state="visible" name="NEAD - EAD" sheetId="3" r:id="rId6"/>
    <sheet state="visible" name="Onboarding" sheetId="4" r:id="rId7"/>
    <sheet state="visible" name="Empregabilidade" sheetId="5" r:id="rId8"/>
    <sheet state="visible" name="CPA 2024.1 (planilha antiga)" sheetId="6" r:id="rId9"/>
    <sheet state="visible" name="Página1" sheetId="7" r:id="rId10"/>
    <sheet state="visible" name="Perguntas Propostas por Eixo" sheetId="8" r:id="rId11"/>
  </sheets>
  <definedNames>
    <definedName hidden="1" localSheetId="5" name="_xlnm._FilterDatabase">'CPA 2024.1 (planilha antiga)'!$A$2:$R$111</definedName>
  </definedNames>
  <calcPr/>
  <extLst>
    <ext uri="GoogleSheetsCustomDataVersion2">
      <go:sheetsCustomData xmlns:go="http://customooxmlschemas.google.com/" r:id="rId12" roundtripDataChecksum="6m6VISzFlRKAtIMpf/h4flQwt8tj4S3IFVMkQsz9SYc="/>
    </ext>
  </extLst>
</workbook>
</file>

<file path=xl/sharedStrings.xml><?xml version="1.0" encoding="utf-8"?>
<sst xmlns="http://schemas.openxmlformats.org/spreadsheetml/2006/main" count="3437" uniqueCount="746">
  <si>
    <t>Resumo — abas adicionadas para cruzar com o Banco de Perguntas por Setor</t>
  </si>
  <si>
    <t>Todas as perguntas em uso no instrumento vigente da CPA, com a modalidade em que cada uma é aplicada — texto 100% literal. Colunas A a J seguem o mesmo padrão do Banco de Perguntas por Setor (coláveis direto); coluna K (Modalidade) é extra, vinda do arquivo CPA_geral_quant.csv. Coluna L (Dimensão do SINAES) adicionada em set/2026 a partir do Eixo da coluna E; células em vermelho = "revisar".</t>
  </si>
  <si>
    <t>Texto 100% literal do documento colado pelo Yago (NEAD). Inclui o conjunto novo (a partir de março/2026) e o conjunto vigente até fev/2026 que será substituído. Nada foi resumido ou reescrito.</t>
  </si>
  <si>
    <t>Nº</t>
  </si>
  <si>
    <t>Pergunta proposta pelo setor</t>
  </si>
  <si>
    <t>Tipo de resposta</t>
  </si>
  <si>
    <t>Opções / Escala detalhada</t>
  </si>
  <si>
    <t>Eixo do SINAES relacionado</t>
  </si>
  <si>
    <t>Setor solicitante</t>
  </si>
  <si>
    <t>Responsável pelo setor</t>
  </si>
  <si>
    <t>Data da solicitação</t>
  </si>
  <si>
    <t>Aba</t>
  </si>
  <si>
    <t>Status</t>
  </si>
  <si>
    <t>Observações / Justificativa</t>
  </si>
  <si>
    <t>Texto 100% literal do bloco 'Onboarding Identificação' do documento colado pelo Yago (setor de Empregabilidade). Nota do documento original: dados do estudante (nome, RA, curso, modalidade, UF, contato) precisam vir integrados na pesquisa e no dash, sempre tagueando o aluno.</t>
  </si>
  <si>
    <t>Modalidade</t>
  </si>
  <si>
    <t>Origem</t>
  </si>
  <si>
    <t>Total de perguntas</t>
  </si>
  <si>
    <t>Predominância de eixo</t>
  </si>
  <si>
    <t>O que fazer</t>
  </si>
  <si>
    <t>Dimensão do SINAES</t>
  </si>
  <si>
    <t>Sobre o material escrito (e-books/textos), como você avalia a clareza da linguagem e a organização das ideias?</t>
  </si>
  <si>
    <t>Avaliações e conteúdos apresentados</t>
  </si>
  <si>
    <t>CPA Atual (por eixo)</t>
  </si>
  <si>
    <t>Escala 1 a 5</t>
  </si>
  <si>
    <t>Relatorio_CPA_2026_1.csv (instrumento já em uso)</t>
  </si>
  <si>
    <t>Eixo 3 (Políticas Acadêmicas) — maioria; Eixo 5 forte em Infraestrutura</t>
  </si>
  <si>
    <t>Muito insatisfeito | Insatisfeito | Parcialmente satisfeito | Satisfeito | Muito satisfeito</t>
  </si>
  <si>
    <t>Comparar com as perguntas novas para não duplicar</t>
  </si>
  <si>
    <t>3. Políticas Acadêmicas</t>
  </si>
  <si>
    <t>NEAD (EAD)</t>
  </si>
  <si>
    <t>CPA (instrumento vigente)</t>
  </si>
  <si>
    <t>Proposta — vigente a partir de março/2026</t>
  </si>
  <si>
    <t>Já em uso — instrumento 2026.1</t>
  </si>
  <si>
    <t>Pesquisa: CPA - Conteúdo das Disciplinas</t>
  </si>
  <si>
    <t>NEAD - EAD</t>
  </si>
  <si>
    <t>EAD</t>
  </si>
  <si>
    <t>As videoaulas do professor (conteúdo gravado) complementam bem o material escrito ou são repetitivas?</t>
  </si>
  <si>
    <t>Documento colado pelo Yago (perguntas novas mar/2026 + vigentes até fev/2026)</t>
  </si>
  <si>
    <t>1. São muito repetitivas (não agregam) | 2. Pouco complementares | 3. Parcialmente complementar | 4. Complementam bem | 5. São essenciais e complementares</t>
  </si>
  <si>
    <t>Eixo 3, com alguns itens de Eixo 5 (AVA/acesso técnico)</t>
  </si>
  <si>
    <t>Dimensão 2 — Ensino, Pesquisa e Extensão</t>
  </si>
  <si>
    <t>Texto 100% literal — cada pergunta e cada opção de resposta são exatamente o que está no documento do Yago</t>
  </si>
  <si>
    <t>Conteúdo das videoaulas</t>
  </si>
  <si>
    <t>Sobre o material escrito (textos disponibilizados na disciplina), como você avalia a profundidade e a quantidade das informações apresentadas?</t>
  </si>
  <si>
    <t>Muito resumido (faltam detalhes importantes) | Resumido (poderia aprofundar mais) | Na medida certa (equilibrado em extensão e profundidade) | Extenso (traz muitos detalhes, alguns pouco relevantes) | Muito extenso (excesso de informações, difícil acompanhar)</t>
  </si>
  <si>
    <t>Onboarding</t>
  </si>
  <si>
    <t>Documento colado pelo Yago (setor de Empregabilidade/Onboarding)</t>
  </si>
  <si>
    <t>Maioria 'Não se aplica / dado cadastral' — são tags, não perguntas avaliativas</t>
  </si>
  <si>
    <t>1</t>
  </si>
  <si>
    <t>Texto 100% literal — inclui nota sobre o item 8 (que é frase de transição, não pergunta própria)</t>
  </si>
  <si>
    <t>Você possui alguma deficiência?</t>
  </si>
  <si>
    <t>Como você avalia a facilidade de leitura e a aparência visual (design) dos materiais? (Considere cores, fontes e organização visual)</t>
  </si>
  <si>
    <t>Múltipla escolha (única)</t>
  </si>
  <si>
    <t>Estudos de caso</t>
  </si>
  <si>
    <t>Sim, física (ex.: mobilidade, locomoção) | Sim, sensorial (ex.: auditiva, visual) | Sim, intelectual ou múltipla | Não</t>
  </si>
  <si>
    <t>Empregabilidade</t>
  </si>
  <si>
    <t>Documento colado pelo Yago (Carreira, Fim de Curso, Egresso)</t>
  </si>
  <si>
    <t>Proposta — coleta no onboarding do aluno</t>
  </si>
  <si>
    <t>Você encontrou dificuldades técnicas para acessar ou carregar os materiais?</t>
  </si>
  <si>
    <t>Eixo 3 (Dimensão 9 — atendimento/apoio ao discente)</t>
  </si>
  <si>
    <t>acessibilidade — dimensão 9</t>
  </si>
  <si>
    <t>Sim, frequentemente (lentidão/erros) | Às vezes | Raramente | Nunca tive problemas</t>
  </si>
  <si>
    <t>Texto 100% literal — numeração e saltos do documento original preservados; duplicatas com o Onboarding sinalizadas</t>
  </si>
  <si>
    <t>5. Infraestrutura Física</t>
  </si>
  <si>
    <t>2</t>
  </si>
  <si>
    <t>Qual é a sua cor ou raça?</t>
  </si>
  <si>
    <t>Branca | Preta | Parda | Amarela | Indígena | Prefiro não responder</t>
  </si>
  <si>
    <t>CPA 2024.1 (planilha antiga)</t>
  </si>
  <si>
    <t>Em qual dispositivo você consome a maior parte do conteúdo?</t>
  </si>
  <si>
    <t>Não se aplica / dado cadastral</t>
  </si>
  <si>
    <t>QUESTÕES CPA 2024.1.xlsx — aba PERGUNTAS (visão do aluno)</t>
  </si>
  <si>
    <t>Celular | Computador / Notebook | Material impresso | Tablet / TV</t>
  </si>
  <si>
    <t>Eixo 5 (Dimensão 7) e Eixo 3 (Dimensão 2) — maioria; traz um bloco de conhecimento institucional (Dimensões 1, 3 e 8) e um de autoavaliação do aluno</t>
  </si>
  <si>
    <t>Texto 100% literal. Cruzada contra todas as abas: ver colunas N a Q (IGUAL / MUITO PARECIDA / NOVA)</t>
  </si>
  <si>
    <t>3</t>
  </si>
  <si>
    <t>No Ambiente Virtual de Aprendizagem (AVA), quão fácil foi encontrar o que você precisava?</t>
  </si>
  <si>
    <t>Qual o seu principal objetivo ao ingressar na faculdade:</t>
  </si>
  <si>
    <t>Muito difícil | Difícil | Indiferente | Fácil | Muito fácil</t>
  </si>
  <si>
    <t>Conseguir o primeiro emprego. | Migrar de área. | Crescer profissionalmente. | Aumentar a renda. | Ser empreendedor | Outros.</t>
  </si>
  <si>
    <t>Materiais escritos (textos, infográficos, mapas etc.)</t>
  </si>
  <si>
    <t>Para aprender de verdade: Quais desses formatos você considera MAIS EFICAZES para o seu estudo? (Selecione até 3)</t>
  </si>
  <si>
    <t>Múltipla escolha (várias, até 3)</t>
  </si>
  <si>
    <t>Capítulos de livros (Biblioteca Virtual) | Videoaulas do professor | Artigos científicos (leitura técnica) | Materiais externos (YouTube/Links curados) | Podcasts / Áudios | Resumos em texto escrito | Infográficos/Mapas mentais</t>
  </si>
  <si>
    <t>4</t>
  </si>
  <si>
    <t>Atualmente, você está trabalhando?</t>
  </si>
  <si>
    <t>Cruzamento — planilha antiga × arquivo atual</t>
  </si>
  <si>
    <t>Sim, com carteira assinada. | Sim, sem carteira assinada. | Sim, sou estagiario | Sim, sou autônomo / MEI. | Não estou trabalhando. | Não estou trabalhando por opção.</t>
  </si>
  <si>
    <t>Sobre as lives (aulas ao vivo): Qual dia da semana você gostaria que acontecesse suas aulas ao vivo? (Marque até 2 alternativas)</t>
  </si>
  <si>
    <t>Múltipla escolha (várias, até 2)</t>
  </si>
  <si>
    <t>Segunda-feira | Terça-feira | Quarta-feira | Quinta-feira | Sexta-feira</t>
  </si>
  <si>
    <t>4.1</t>
  </si>
  <si>
    <t>Presencial</t>
  </si>
  <si>
    <t>Situação</t>
  </si>
  <si>
    <t>Se sim, qual é o nome da atual empresa onde você trabalha?</t>
  </si>
  <si>
    <t>Qtd. de perguntas</t>
  </si>
  <si>
    <t>Aberta (texto livre)</t>
  </si>
  <si>
    <t>Em que medida o conteúdo disponibilizado (material escrito e videoaulas) é útil para sua prática profissional, para os estudos acadêmicos e para o uso no dia a dia?</t>
  </si>
  <si>
    <t>Resposta aberta</t>
  </si>
  <si>
    <t>Nada útil (não consigo aplicar em nenhuma situação) | Pouco útil (aplicável raramente) | Moderadamente útil (aplicável em alguns casos específicos) | Útil (aplicável em várias situações, inclusive no cotidiano) | Muito útil (essencial e diretamente aplicável à minha prática profissional, estudos e vida diária)</t>
  </si>
  <si>
    <t>IGUAL</t>
  </si>
  <si>
    <t>De 0 a 10, o quanto você recomendaria a qualidade deste material para um colega?</t>
  </si>
  <si>
    <t>5</t>
  </si>
  <si>
    <t>NPS (0 a 10)</t>
  </si>
  <si>
    <t>Qual sua renda mensal atual?</t>
  </si>
  <si>
    <t>0 a 10 (Net Promoter Score)</t>
  </si>
  <si>
    <t>1. Planejamento e Avaliação Institucional</t>
  </si>
  <si>
    <t>Resposta aberta — *Pesquisa sigilosa, utilizada apenas para fins estatísticos, sem identificação do usuário</t>
  </si>
  <si>
    <t>O que falta para sua experiência ser nota 10?</t>
  </si>
  <si>
    <t>Espaço para texto livre: sugestões de melhoria, críticas ou elogios específicos sobre usabilidade e conteúdo</t>
  </si>
  <si>
    <t>6</t>
  </si>
  <si>
    <t>Você trabalha na área do seu curso?</t>
  </si>
  <si>
    <t>Sim | Não</t>
  </si>
  <si>
    <t>Como você avalia a sua experiência com o material escrito das unidades 1 a 4?</t>
  </si>
  <si>
    <t>relação curso-mercado, dimensão 9</t>
  </si>
  <si>
    <t>1. Muito insatisfeito | 2. Insatisfeito | 3. Neutro | 4. Satisfeito | 5. Muito satisfeito</t>
  </si>
  <si>
    <t>Vigente até fev/2026 — a ser substituída</t>
  </si>
  <si>
    <t>Como você avalia a qualidade das videoaulas do professor? Obs.: são os vídeos junto do material escrito, diferente das aulas ao vivo gravadas.</t>
  </si>
  <si>
    <t>Semipresencial</t>
  </si>
  <si>
    <t>Como você avalia a aparência (design) dos conteúdos das unidades 1 a 4?</t>
  </si>
  <si>
    <t>7</t>
  </si>
  <si>
    <t>Qual a empresa dos seus sonhos?</t>
  </si>
  <si>
    <t>Resposta aberta — nota do setor: "Importante para mapear aspirações e direcionar parcerias"</t>
  </si>
  <si>
    <t>o texto após a pergunta parece anotação interna do setor, não parte do que é exibido ao aluno — confirmar com o NEAD/Empregabilidade</t>
  </si>
  <si>
    <t>Como você avalia a sua experiência de usabilidade da plataforma de estudos - AVA?</t>
  </si>
  <si>
    <t>8</t>
  </si>
  <si>
    <t>Estamos mapeando oportunidades que exigem conhecimento em outros idiomas, como vagas de emprego ou programas internacionais. Por isso, responda:</t>
  </si>
  <si>
    <t>(texto de transição, sem opções própria)</t>
  </si>
  <si>
    <t>— ver pergunta 9</t>
  </si>
  <si>
    <t>no documento original, o item 8 é uma frase de transição para a pergunta 9, não uma pergunta com resposta própria</t>
  </si>
  <si>
    <t>Abertura do(a) professor(a) para discussões e questionamentos realizados pelos alunos</t>
  </si>
  <si>
    <t>9</t>
  </si>
  <si>
    <t>MUITO PARECIDA</t>
  </si>
  <si>
    <t>Com qual das opções abaixo você mais se identifica?</t>
  </si>
  <si>
    <t>Falo e entendo bem inglês | Falo e entendo bem espanhol | Falo e entendo bem outro idioma (ex: francês, alemão, etc.) | Tenho noções básicas de algum idioma | Nunca estudei outro idioma</t>
  </si>
  <si>
    <t>Quais tipos de materiais você mais consome do nosso conteúdo? (marque as opções que se aplicam):</t>
  </si>
  <si>
    <t>Pesquisa: CPA - Docente</t>
  </si>
  <si>
    <t>Múltipla escolha (várias)</t>
  </si>
  <si>
    <t>Capítulos de livros da Biblioteca Virtual | Videoaulas | Artigos científicos | Para mergulhar no assunto (ex. vídeos do youtube) | Podcasts | Conteúdo em texto escrito</t>
  </si>
  <si>
    <t>Aderência das atividades avaliativas aos conteúdos trabalhados em aula</t>
  </si>
  <si>
    <t>Queremos a sua opinião… Escreva algum comentário ou sugestão sobre os pontos avaliados.</t>
  </si>
  <si>
    <t>Sem limite de caracteres</t>
  </si>
  <si>
    <t>Apresentação do Plano de Aprendizagem da disciplina  (ementa, conteúdos, objetivos, cronograma etc)</t>
  </si>
  <si>
    <t>Dinamismo das aulas</t>
  </si>
  <si>
    <t>NOVA</t>
  </si>
  <si>
    <t>Exemplos práticos e reais utilizados para facilitar a compreensão dos conteúdos</t>
  </si>
  <si>
    <t xml:space="preserve">Explicação dos critérios avaliativos </t>
  </si>
  <si>
    <t xml:space="preserve">Feedbacks realizados pelo(a) professor(a) sobre as atividades e as avaliações </t>
  </si>
  <si>
    <t>Promoção de um ambiente respeitoso e acolhedor em sala de aula</t>
  </si>
  <si>
    <t>Total</t>
  </si>
  <si>
    <t>Utilização do AVA (Ambiente Virtual de Aprendizagem) para disponibilização de conteúdos e comunicados</t>
  </si>
  <si>
    <t>Acervo físico e virtual da biblioteca</t>
  </si>
  <si>
    <t>Pesquisa: CPA - Infraestrutura e Atendimento</t>
  </si>
  <si>
    <t>Dimensão 7 — Infraestrutura Física</t>
  </si>
  <si>
    <t>Acessibilidade das instalações</t>
  </si>
  <si>
    <t>Atendimento da biblioteca</t>
  </si>
  <si>
    <t>Perguntas NOVAS por Eixo/Dimensão</t>
  </si>
  <si>
    <t>Atendimento das cantinas</t>
  </si>
  <si>
    <t>Novas</t>
  </si>
  <si>
    <t>Total na planilha antiga</t>
  </si>
  <si>
    <t>Atendimento do Departamento de Tecnologia da Informação (TI)</t>
  </si>
  <si>
    <t>Atendimento do setor Agiliza</t>
  </si>
  <si>
    <t>Dimensão 1 — Missão e PDI</t>
  </si>
  <si>
    <t>Dimensão 9 — Atendimento aos Discentes</t>
  </si>
  <si>
    <t>Atendimento do setor de Carreiras</t>
  </si>
  <si>
    <t>Espaço físico da biblioteca</t>
  </si>
  <si>
    <t>Higiene e limpeza das cantinas</t>
  </si>
  <si>
    <t>Higiene e limpeza dos banheiros</t>
  </si>
  <si>
    <t>Limpeza das salas de aula</t>
  </si>
  <si>
    <t>Portal do aluno UniFECAF ONE</t>
  </si>
  <si>
    <t>Preço dos produtos das cantinas</t>
  </si>
  <si>
    <t>Qualidade da conexão à internet sem fio (Wi‑Fi)</t>
  </si>
  <si>
    <t>Qualidade das salas de aula</t>
  </si>
  <si>
    <t>Qualidade dos Laboratórios Específicos</t>
  </si>
  <si>
    <t>Qualidade dos Laboratórios de Informática</t>
  </si>
  <si>
    <t>Qualidade e variedade dos produtos das cantinas</t>
  </si>
  <si>
    <t>Dimensão 3 — Responsabilidade Social</t>
  </si>
  <si>
    <t>Quantidade de computadores</t>
  </si>
  <si>
    <t>Serviço de portaria</t>
  </si>
  <si>
    <t>Dimensão 4 — Comunicação com a Sociedade</t>
  </si>
  <si>
    <t>Dimensão 5 — Políticas de Pessoal</t>
  </si>
  <si>
    <t>Dimensão 6 — Organização e Gestão</t>
  </si>
  <si>
    <t>Dimensão 8 — Planejamento e Avaliação</t>
  </si>
  <si>
    <t>Dimensão 10 — Sustentabilidade Financeira</t>
  </si>
  <si>
    <t>Acolhimento da UniFECAF em relação às suas necessidades como estudante</t>
  </si>
  <si>
    <t>Pesquisa: CPA - Políticas Acadêmicas</t>
  </si>
  <si>
    <t>Atividades extracurriculares relativos ao seu curso (cursos de extensão, visitas técnicas, eventos, etc..)</t>
  </si>
  <si>
    <t>Atuação da UniFECAF em projetos sociais e ajuda à comunidade</t>
  </si>
  <si>
    <t>2. Desenvolvimento Institucional</t>
  </si>
  <si>
    <t>Comunicação entre alunos e coordenador</t>
  </si>
  <si>
    <t>revisar — Dimensão 4 ou 9</t>
  </si>
  <si>
    <t>Inovação e novas tecnologias usadas para facilitar seu aprendizado</t>
  </si>
  <si>
    <t>revisar*</t>
  </si>
  <si>
    <t>Publicações e conteúdos nas redes sociais da UniFECAF (Insta, Face, LinkedIn e TikTok)</t>
  </si>
  <si>
    <t>Não se aplica*</t>
  </si>
  <si>
    <t>Obs.: "revisar*" soma todas as classificações marcadas como revisar (inclui a "Infraestrutura Virtual (11)" da planilha antiga, que não é dimensão do SINAES).</t>
  </si>
  <si>
    <t>Abertura e canais de participação dos alunos junto a coordenação do curso</t>
  </si>
  <si>
    <t>4. Políticas de Gestão</t>
  </si>
  <si>
    <t>Pesquisa: CPA - Políticas de Gestão</t>
  </si>
  <si>
    <t>Atendimento e suporte oferecido pela coordenação do seu curso</t>
  </si>
  <si>
    <t>Facilidade de encontrar ou agendar um horário com a coordenação do seu curso</t>
  </si>
  <si>
    <t>Frequência e transparência das reuniões entre a coordenação e os representantes de turma</t>
  </si>
  <si>
    <t>Vínculo e facilidade de diálogo entre você e o(a) coordenador(a) do curso</t>
  </si>
  <si>
    <t>Domínio do Conteúdo pelos professores das lives</t>
  </si>
  <si>
    <t>Pesquisa: CPA - Professores (lives)</t>
  </si>
  <si>
    <t>Metodologias utilizadas nas lives</t>
  </si>
  <si>
    <t>Organização e preparo das lives</t>
  </si>
  <si>
    <t>Tempo de duração das lives</t>
  </si>
  <si>
    <t>Avalia a qualidade e didática dos professores</t>
  </si>
  <si>
    <t>Pesquisa: CPA - Satisfação Geral</t>
  </si>
  <si>
    <t>Avalia o suporte e a gestão da coordenação do seu curso</t>
  </si>
  <si>
    <t>Recomenda a UniFECAF para um amigo ou familiar</t>
  </si>
  <si>
    <t>Professores da UniFECAF</t>
  </si>
  <si>
    <t>Atenção e prestatividade do tutor</t>
  </si>
  <si>
    <t>Pesquisa: CPA - Tutores</t>
  </si>
  <si>
    <t>Conhecimento do tutor sobre os conteúdos</t>
  </si>
  <si>
    <t>Tempo de resposta do tutor</t>
  </si>
  <si>
    <t>Conhecimento do tutor</t>
  </si>
  <si>
    <t>Deixe aqui seu comentário sobre os Conteúdos</t>
  </si>
  <si>
    <t>Texto livre</t>
  </si>
  <si>
    <t>Pesquisa: CPA - Conteúdo das Disciplinas — não consta no arquivo quant (é campo aberto, não entra em média)</t>
  </si>
  <si>
    <t>EAD, Presencial, Semipresencial</t>
  </si>
  <si>
    <t>Deixe aqui seu comentário sobre o(a) professor(a)</t>
  </si>
  <si>
    <t>Pesquisa: CPA - Docente — não consta no arquivo quant (é campo aberto, não entra em média)</t>
  </si>
  <si>
    <t>Deixe aqui seus comentários sobre a infraestrutura física e os serviços da UniFECAF</t>
  </si>
  <si>
    <t>Pesquisa: CPA - Infraestrutura e Atendimento — não consta no arquivo quant (é campo aberto, não entra em média)</t>
  </si>
  <si>
    <t>Deixe aqui seu comentário sobre as políticas acadêmicas da UniFECAF</t>
  </si>
  <si>
    <t>Pesquisa: CPA - Políticas Acadêmicas — não consta no arquivo quant (é campo aberto, não entra em média)</t>
  </si>
  <si>
    <t>EAD, Presencial (períodos E./G.)</t>
  </si>
  <si>
    <t>revisar — campo aberto de um bloco que mistura Dimensões 2, 4 e 9</t>
  </si>
  <si>
    <t>Comentarios</t>
  </si>
  <si>
    <t>Semipresencial (períodos S.)</t>
  </si>
  <si>
    <t>Deixe aqui seus comentários sobre a gestão e a coordenação do seu curso</t>
  </si>
  <si>
    <t>Pesquisa: CPA - Políticas de Gestão — não consta no arquivo quant (é campo aberto, não entra em média)</t>
  </si>
  <si>
    <t>Deixe aqui seu comentário sobre as aulas ao vivo</t>
  </si>
  <si>
    <t>Pesquisa: CPA - Professores (lives) — não consta no arquivo quant (é campo aberto, não entra em média)</t>
  </si>
  <si>
    <t>Deixe aqui seu comentário sobre seu tutor</t>
  </si>
  <si>
    <t>Pesquisa: CPA - Tutores — não consta no arquivo quant (é campo aberto, não entra em média)</t>
  </si>
  <si>
    <t>Texto 100% literal do documento colado pelo Yago (setor de Empregabilidade) — reúne as 3 etapas na ordem em que aparecem no original: Pesquisa semestral - Carreira, Empregabilidade — Fim do Curso, Pesquisa Egresso 120 dias. Numeração e eventuais saltos (ex.: falta o item "4" na etapa Carreira) foram preservados exatamente como no documento fonte.</t>
  </si>
  <si>
    <t>Proposta — Pesquisa semestral - Carreira</t>
  </si>
  <si>
    <t>repete a pergunta 1 do Onboarding</t>
  </si>
  <si>
    <t>repete a pergunta 2 do Onboarding</t>
  </si>
  <si>
    <t>repete a pergunta 4 do Onboarding</t>
  </si>
  <si>
    <t>3.1</t>
  </si>
  <si>
    <t>numeração "3,1" está assim no documento original</t>
  </si>
  <si>
    <t>Perguntas da aba PERGUNTAS do arquivo QUESTÕES CPA 2024.1 (visão do aluno) — texto 100% literal, incluindo erros de digitação e numeração originais. A aba "Professores" do arquivo antigo não foi incluída (decisão do Yago). Eixo/Dimensão: respeita a Dimensão da planilha antiga; onde ela não existia, a classificação é indicada na coluna M. Situação: IGUAL = mesmo texto (diferença só de numeração, maiúscula ou pontuação) · MUITO PARECIDA = mesmo tema/objetivo com redação ou escala diferente · NOVA = não há nada parecido em nenhuma aba do arquivo atual.</t>
  </si>
  <si>
    <t>não existe item "4" no documento original — numeração pula de 3.1 para 5</t>
  </si>
  <si>
    <t>Bloco na planilha antiga</t>
  </si>
  <si>
    <t>Qual a sua principal fonte de recurso para pagamento das mensalidades?</t>
  </si>
  <si>
    <t>Enunciado do bloco</t>
  </si>
  <si>
    <t>Pergunta (texto literal)</t>
  </si>
  <si>
    <t>Suporte da Família. | Trabalho/Estágio próprio. | Financiamento privado. | FIES / PROUNI / Bolsista</t>
  </si>
  <si>
    <t>Opções / Escala (literal da fonte)</t>
  </si>
  <si>
    <t>Código da pergunta (original)</t>
  </si>
  <si>
    <t>Quais são as maiores dificuldades que você enfrenta hoje para conseguir ou melhorar seu emprego? Selecione uma ou mais opções.</t>
  </si>
  <si>
    <t>Indicador (original)</t>
  </si>
  <si>
    <t>Falta de experiência. | Falta de networking (conexões profissionais). | Baixa qualificação técnica. | Dificuldade em entrevistas ou processos seletivos. | Falta de tempo para se dedicar à carreira.</t>
  </si>
  <si>
    <t>Dimensão (original)</t>
  </si>
  <si>
    <t>OBS (original)</t>
  </si>
  <si>
    <t>apoio à empregabilidade, dimensão 9</t>
  </si>
  <si>
    <t>Eixo do SINAES</t>
  </si>
  <si>
    <t>Origem da classificação</t>
  </si>
  <si>
    <t>10</t>
  </si>
  <si>
    <t>Estamos mapeando oportunidades que exigem conhecimento em outros idiomas, como vagas de emprego ou programas internacionais. Por isso, responda: Com qual das opções abaixo você mais se identifica?</t>
  </si>
  <si>
    <t>Situação no cruzamento</t>
  </si>
  <si>
    <t>repete a pergunta 8+9 do Onboarding</t>
  </si>
  <si>
    <t>Pergunta equivalente no arquivo atual (literal)</t>
  </si>
  <si>
    <t>11</t>
  </si>
  <si>
    <t>Onde está (aba — linha)</t>
  </si>
  <si>
    <t>Você possui alguma sugestão, experiência ou comentário sobre sua trajetória de desenvolvimento profissional, empregabilidade e apoio recebido pela UniFECAF?</t>
  </si>
  <si>
    <t>Observações do cruzamento</t>
  </si>
  <si>
    <t>Linha na planilha antiga</t>
  </si>
  <si>
    <t>AVALIAÇÃO GERAL - SATISFAÇÃO GERAL 134</t>
  </si>
  <si>
    <t>1 - Em uma escala de 0 a 10, o quanto você recomendaria a UniFECAF a um amigo ou familiar?</t>
  </si>
  <si>
    <t>Escala 0 a 10</t>
  </si>
  <si>
    <t>Proposta — Empregabilidade — Fim do Curso</t>
  </si>
  <si>
    <t>0 a 10 — escala citada no próprio enunciado; a planilha não traz rótulos</t>
  </si>
  <si>
    <t>Classificado pela CPA (planilha antiga sem dimensão): segue a CPA Atual (Recomenda a UniFECAF → Eixo 1)</t>
  </si>
  <si>
    <t>CPA Atual (por eixo) — linha 131 (repete nas linhas 134 e 137)</t>
  </si>
  <si>
    <t>Mesmo conteúdo; a antiga usa escala 0 a 10, a atual 1 a 5.</t>
  </si>
  <si>
    <t>2 - Em uma escala de 0 a 10, o quanto você está satisfeito(a) com a coordenação do seu Curso?</t>
  </si>
  <si>
    <t>AVALIAÇÃO DO COORDENADOR</t>
  </si>
  <si>
    <t>Classificado pela CPA (planilha antiga sem dimensão): coordenação = gestão (segue a CPA Atual, Eixo 4)</t>
  </si>
  <si>
    <t>Você conseguiu um emprego ou trocou de emprego durante o curso?</t>
  </si>
  <si>
    <t>CPA Atual (por eixo) — linha 130 (repete nas linhas 133 e 135)</t>
  </si>
  <si>
    <t>Mesmo conteúdo; escala diferente.</t>
  </si>
  <si>
    <t>3 - Em uma escala de 0 a 10, o quanto você está satisfeito(a) com os professores da UniFECAF?</t>
  </si>
  <si>
    <t>AVALIAÇÃO DO PROFESSOR</t>
  </si>
  <si>
    <t>Se sim, esse novo emprego foi conquistado:</t>
  </si>
  <si>
    <t>Classificado pela CPA (planilha antiga sem dimensão): docentes/ensino (segue a CPA Atual, Eixo 3)</t>
  </si>
  <si>
    <t>Avalia a qualidade e didática dos professores
Professores da UniFECAF</t>
  </si>
  <si>
    <t>Por plataformas / sites fora da faculdade. | Por indicação de conhecidos. | Por eventos/feiras realizados na UniFECAF. | Por empresas parceiras / plataforma de vagas da UniFECAF. | Outros</t>
  </si>
  <si>
    <t>CPA Atual (por eixo) — linha 129 (repete na linha 132)
CPA Atual (por eixo) — linha 136</t>
  </si>
  <si>
    <t>mede ação institucional — dimensão 9</t>
  </si>
  <si>
    <t>4 - Em uma escala de 0 a 10, o quanto você está satisfeito(a) com o atendimento dos funcionários da UniFECAF?</t>
  </si>
  <si>
    <t>Classificado pela CPA (planilha antiga sem dimensão): atendimento de funcionários = corpo técnico-administrativo</t>
  </si>
  <si>
    <t>Como você avalia o comprometimento da equipe técnico-administrativa que atende você (secretaria, TI, biblioteca)?</t>
  </si>
  <si>
    <t>Desde o início do curso na UniFECAF, como sua situação profissional se desenvolveu?</t>
  </si>
  <si>
    <t>Perguntas Propostas por Eixo — linha 28 (pergunta candidata, ainda não aprovada)</t>
  </si>
  <si>
    <t>Na CPA Atual o atendimento é avaliado setor a setor, não de forma geral.</t>
  </si>
  <si>
    <t>Houve grande crescimento profissional. | Houve crescimento profissional. | Não houve mudanças relevantes. | Houve retrocesso profissional.</t>
  </si>
  <si>
    <t>5 - Em uma escala de 0 a 10, o quanto você está satisfeito(a) com a infraestrutura física da UniFECAF?</t>
  </si>
  <si>
    <t>INFRAESTRUTURA TECNOLÓGICA</t>
  </si>
  <si>
    <t>Classificado pela CPA (planilha antiga sem dimensão)</t>
  </si>
  <si>
    <t>O curso contribuiu para: Selecione uma ou mais opções.</t>
  </si>
  <si>
    <t>Conseguir uma recolocação no mercado de trabalho. | Ter uma promoção ou aumento salarial. | Fazer uma transição de carreira | Desenvolver novas competências. | Empreender.</t>
  </si>
  <si>
    <t>Não há pergunta de satisfação GERAL com a infraestrutura física; hoje ela é avaliada item a item (CPA Atual linhas 24–83).</t>
  </si>
  <si>
    <t>6 - Em uma escala de 0 a 10, o quanto você está satisfeito(a) com a infraestrutura tecnológica da UniFECAF?</t>
  </si>
  <si>
    <t>Após a conclusão do curso, você pretende: Selecione uma ou mais opções.</t>
  </si>
  <si>
    <t>Permanecer no emprego atual. | Buscar nova oportunidade na área. | Empreender. | Continuar os estudos (pós-graduação).</t>
  </si>
  <si>
    <t>Classificado pela CPA (planilha antiga sem dimensão): infraestrutura tecnológica entra na Dimensão 7</t>
  </si>
  <si>
    <t>Não há pergunta de satisfação GERAL com a infraestrutura tecnológica.</t>
  </si>
  <si>
    <t>AVALIAÇÃO DOCENTE - VISÃO DO ALUNO 122</t>
  </si>
  <si>
    <t>Com relação ao(à) professor(a), avalie de acordo com seu nível de satisfação:</t>
  </si>
  <si>
    <t>1- Explicou sobre o Plano de Aprendizagem</t>
  </si>
  <si>
    <t>Escala de 5 pontos (satisfação)</t>
  </si>
  <si>
    <t>Muito satisfeito / Satisfeito / Indiferente / Insatisfeito / Muito insatisfeito</t>
  </si>
  <si>
    <t>Políticas para o Ensino a Pesquisa e a Extensão (2)</t>
  </si>
  <si>
    <t>1- Apresentou o Plano de Aula da disciplina
(plano de aprendizagem, ementa e objetivos, cronograma)</t>
  </si>
  <si>
    <t>Dimensão da planilha antiga (respeitada)</t>
  </si>
  <si>
    <t>CPA Atual (por eixo) — linha 17</t>
  </si>
  <si>
    <t>2 - Planejou e Organizou as aulas</t>
  </si>
  <si>
    <t>2- O professor motivou os alunos a aprofundarem seus conhecimentos além do conteúdo apresentado em sala?</t>
  </si>
  <si>
    <t>Proposta — Pesquisa Egresso — 120 dias após formado</t>
  </si>
  <si>
    <t>Tema próximo apenas para lives: CPA Atual linha 119 ("Organização e preparo das lives").</t>
  </si>
  <si>
    <t>3 - As avaliações foram coerentes frente aos conteúdos ministrados</t>
  </si>
  <si>
    <t xml:space="preserve">3- As atividades e provas durante o curso estavam de acordo com os assuntos que os professores ensinaram?
</t>
  </si>
  <si>
    <t>CPA Atual (por eixo) — linha 16</t>
  </si>
  <si>
    <t xml:space="preserve">4 - Explicou os critérios de avaliação </t>
  </si>
  <si>
    <t>manter</t>
  </si>
  <si>
    <t>CPA Atual (por eixo) — linha 20</t>
  </si>
  <si>
    <t>Após concluir o curso, em quanto tempo você conseguiu sua primeira oportunidade?</t>
  </si>
  <si>
    <t>5 - Se manteve no tema da aula, sem desvios para assuntos irrelevantes</t>
  </si>
  <si>
    <t>Já estava empregado quando terminei o curso. | Até 30 dias. | De 31 a 60 dias. | De 61 a 120 dias. | Ainda não consegui.</t>
  </si>
  <si>
    <t>5 - O professor utilizou exemplos práticos e reais para facilitar a compreensão dos conteúdos?</t>
  </si>
  <si>
    <t>indicador de efetividade</t>
  </si>
  <si>
    <t>Essa oportunidade foi:</t>
  </si>
  <si>
    <t>Efetivação de estágio. | Novo emprego. | Promoção no emprego atual. | Início de negócio próprio. | Não se aplica.</t>
  </si>
  <si>
    <t>6 - Utilizou metodologias diferenciadas e inspiradoras para dinamizar e estimular a participação dos alunos</t>
  </si>
  <si>
    <t xml:space="preserve">6- As aulas foram ministradas de forma dinâmica e envolvente?
</t>
  </si>
  <si>
    <t>Quais ações da faculdade contribuíram para sua empregabilidade? Selecione uma ou mais opções.</t>
  </si>
  <si>
    <t>CPA Atual (por eixo) — linha 18</t>
  </si>
  <si>
    <t>Estágio supervisionado. | Eventos e feiras de carreira. | Parcerias com empresas. | Projetos práticos. | Mentorias de Carreira | Portal de vagas exclusivo UniFECAF.</t>
  </si>
  <si>
    <t>7 - Utilizou o AVA (Ambiente Virtual de Aprendizagem) para disponibilização de conteúdos e recados</t>
  </si>
  <si>
    <t>a mais diretamente avaliativa do bloco — mede ação institucional, dimensão 9</t>
  </si>
  <si>
    <t>CPA Atual (por eixo) — linha 23</t>
  </si>
  <si>
    <t>Após concluir sua graduação na UniFECAF, você deu continuidade aos seus estudos?</t>
  </si>
  <si>
    <t>Só muda "recados" → "comunicados".</t>
  </si>
  <si>
    <t>Sim. | Não.</t>
  </si>
  <si>
    <t>8 - Explicou a importância dos conteúdos para a formação profissional</t>
  </si>
  <si>
    <t>8- O professor deu feedbacks construtivos sobre as atividades e avaliações realizadas?</t>
  </si>
  <si>
    <t>Se sim, qual modalidade de formação você está cursando ou já cursou após a formação na graduação?</t>
  </si>
  <si>
    <t>Tema próximo: NEAD - EAD linha 12 e Perguntas Propostas linha 18 (utilidade do conteúdo para a prática profissional), mas lá o foco é o material, não o professor.</t>
  </si>
  <si>
    <t>Pós-graduação / Especialização. | MBA. | Segunda graduação. | Mestrado. | Doutorado. | Cursos livres / aperfeiçoamento. | Certificações profissionais. | Outro: ____________</t>
  </si>
  <si>
    <t>9 - Auxiliou nas dificuldades apresentadas pelos alunos</t>
  </si>
  <si>
    <t>9 - O professor foi acessível e aberto a discussões e questionamentos dos alunos?</t>
  </si>
  <si>
    <t>Tema próximo: CPA Atual linha 15 (abertura para discussões e questionamentos).</t>
  </si>
  <si>
    <t>A instituição em que você realiza ou realizou essa formação é:</t>
  </si>
  <si>
    <t>UniFECAF. | Outra instituição.</t>
  </si>
  <si>
    <t>10 - Cumpriu datas e horários das aulas</t>
  </si>
  <si>
    <t>10- O professor promoveu um ambiente respeitoso e acolhedor em sala de aula?</t>
  </si>
  <si>
    <t>Qual o nome da instituição?</t>
  </si>
  <si>
    <t>11 - Deixe aqui seu(s) comentário(s) sobre a atuação do professor.</t>
  </si>
  <si>
    <t>CPA Atual (por eixo) — linha 148</t>
  </si>
  <si>
    <t>AMBIENTE VIRTUAL NOS CURSOS PRESENCIAIS - VISÃO DO ALUNO 138</t>
  </si>
  <si>
    <t>Qual modalidade:</t>
  </si>
  <si>
    <t>Com que frequência você acessa às unidades curriculares EAD dos cursos presenciais (por dispositivo):</t>
  </si>
  <si>
    <t>Celular</t>
  </si>
  <si>
    <t>EAD | Semipresencial | Presencial.</t>
  </si>
  <si>
    <t>revisar — não informado na fonte</t>
  </si>
  <si>
    <t>Não informado na planilha antiga</t>
  </si>
  <si>
    <t>Não se aplica / dado de perfil</t>
  </si>
  <si>
    <t>NEAD - EAD — linha 8</t>
  </si>
  <si>
    <t>Lá é "qual dispositivo mais usa" (aluno EAD); aqui é frequência por dispositivo (aluno presencial nas unidades EAD). Na planilha antiga este bloco vem sob a marcação "[NOVA PERGUNTA]" (linha 29).</t>
  </si>
  <si>
    <t>12</t>
  </si>
  <si>
    <t>Qual foi o principal motivo para continuar seus estudos?</t>
  </si>
  <si>
    <t>Ter crescimento profissional. | Ter um aumento salarial. | Mudança de área. | Exigência do mercado. | Desenvolvimento acadêmico. | Interesse pessoal.</t>
  </si>
  <si>
    <t>Computador</t>
  </si>
  <si>
    <t>Idem linha acima. Na planilha antiga este bloco vem sob a marcação "[NOVA PERGUNTA]" (linha 29).</t>
  </si>
  <si>
    <t>Tablet</t>
  </si>
  <si>
    <t>Avalie de acordo com seu nível de satisfação quanto à/ao:</t>
  </si>
  <si>
    <t>1 - Com relação ao tempo de atendimento da Equipe de suporte do EAD, sinto-me:</t>
  </si>
  <si>
    <t>Muito satisfeito / Satisfeito / Regular/ Insatisfeito / Muito insatisfeito</t>
  </si>
  <si>
    <t>NÚCLEO DE EDUCAÇÃO À DISTÂNCIA - NEAD</t>
  </si>
  <si>
    <t>Políticas de Atendimento aos Discentes (9)</t>
  </si>
  <si>
    <t>Não existe pergunta sobre a Equipe de suporte do EAD. Repete dentro da própria planilha antiga (linha 143).</t>
  </si>
  <si>
    <t>2 - Com relação ao tempo de resposta do Professor-tutor, sinto-me:</t>
  </si>
  <si>
    <t>CPA Atual (por eixo) — linha 140 (repete nas linhas 143 e 146)</t>
  </si>
  <si>
    <t>3 - Com relação às minhas expectativas atendidas pelo AVA - Ambiente Virtual de Aprendizagem, sinto-me:</t>
  </si>
  <si>
    <t>Infraestrutura Virtual (11)</t>
  </si>
  <si>
    <t>revisar</t>
  </si>
  <si>
    <t>revisar — "Infraestrutura Virtual (11)" não é uma das 10 dimensões do SINAES</t>
  </si>
  <si>
    <t>Planilha antiga usa dimensão fora do SINAES</t>
  </si>
  <si>
    <t>NEAD - EAD — linha 18</t>
  </si>
  <si>
    <t>Repete dentro da planilha antiga (linha 144).</t>
  </si>
  <si>
    <t>4 - Com relação ao conteúdo significativo das videoaulas, sinto-me</t>
  </si>
  <si>
    <t>Conteúdo das videoaulas
Como você avalia a qualidade das videoaulas do professor? Obs.: são os vídeos junto do material escrito, diferente das aulas ao vivo gravadas.</t>
  </si>
  <si>
    <t>CPA Atual (por eixo) — linha 4 (repete nas linhas 8 e 12)
NEAD - EAD — linha 16</t>
  </si>
  <si>
    <t>O tempo de duração das videoaulas foi adequado para a explicação do conteúdo</t>
  </si>
  <si>
    <t>EXCLUIDA</t>
  </si>
  <si>
    <t>⚠ Marcada "EXCLUIDA" na planilha antiga. Tema próximo: CPA Atual linha 120 ("Tempo de duração das lives") — lá é live, aqui é videoaula. Já estava marcada como EXCLUIDA na planilha antiga.</t>
  </si>
  <si>
    <t>5 - Com relação aos materiais escritos (textos, infográficos, mapas etc.), estou:</t>
  </si>
  <si>
    <t>CPA Atual (por eixo) — linha 6 (repete nas linhas 10 e 14)</t>
  </si>
  <si>
    <t>Mesmo item; muda só o enunciado.</t>
  </si>
  <si>
    <t>6 - Quando utilizo meu COMPUTADOR/NOTEBOOK para acessar as minhas disciplinas EAD, sinto-me:</t>
  </si>
  <si>
    <t>Tema próximo: NEAD - EAD linhas 7 e 8 (dificuldade técnica / dispositivo). Repete na planilha antiga (linha 145).</t>
  </si>
  <si>
    <t>7 - Quando utilizo o CELULAR/TABLET para acessar as minhas disciplinas EAD, sinto-me:</t>
  </si>
  <si>
    <t>Tema próximo: NEAD - EAD linhas 7 e 8. Repete na planilha antiga (linha 146).</t>
  </si>
  <si>
    <t>8 - Com relação à visualização e localização dos conteúdos na plataforma, estou:</t>
  </si>
  <si>
    <t>NEAD - EAD — linha 9</t>
  </si>
  <si>
    <t>Repete na planilha antiga (linha 147).</t>
  </si>
  <si>
    <t>9 - Se desejar deixe aqui seus comentários sobre a Infraestrutura Virtual:</t>
  </si>
  <si>
    <t>Não há campo aberto específico de infraestrutura VIRTUAL (o da CPA Atual linha 149 é de infraestrutura física e serviços).</t>
  </si>
  <si>
    <t>PLANEJAMENTO E DESENVOLVIMENTO INSTITUCIONAL - VISÃO DO ALUNO 135</t>
  </si>
  <si>
    <t>Indique o seu nível conhecimento sobre cada tópico:</t>
  </si>
  <si>
    <t>1 - Nota do meu curso no MEC</t>
  </si>
  <si>
    <t>Escala de 5 pontos (conhecimento)</t>
  </si>
  <si>
    <t>Conheço muito bem/ Conheço bem/ Conheço/ Conheço pouco/ Desconheço</t>
  </si>
  <si>
    <t>PLANEJAMENTO INSTITUCIONAL</t>
  </si>
  <si>
    <t>Missão e PDI (1)</t>
  </si>
  <si>
    <t>2 - Ações de responsabilidade social desenvolvidas pela UniFECAF</t>
  </si>
  <si>
    <t>Responsabilidade Social (3)</t>
  </si>
  <si>
    <t>Você conhece alguma ação de responsabilidade social promovida pela UniFECAF neste semestre?</t>
  </si>
  <si>
    <t>Perguntas Propostas por Eixo — linha 14 (pergunta candidata)</t>
  </si>
  <si>
    <t>3 - Programas de Bolsa de Estudos e de Financiamento da UniFECAF</t>
  </si>
  <si>
    <t>Como você avalia as políticas de inclusão e acesso da faculdade (bolsas, FIES/PROUNI, financiamento estudantil)?</t>
  </si>
  <si>
    <t>Perguntas Propostas por Eixo — linha 12 (pergunta candidata)</t>
  </si>
  <si>
    <t>Lá avalia a política; aqui mede o conhecimento sobre ela.</t>
  </si>
  <si>
    <t>4 - Matriz Curricular do meu curso</t>
  </si>
  <si>
    <t>Planejamento e Avaliação (8)</t>
  </si>
  <si>
    <t>Tema próximo: Perguntas Propostas linha 8 (PPC).</t>
  </si>
  <si>
    <t>5 - Projeto Pedagógico do Curso - PPC do meu curso</t>
  </si>
  <si>
    <t>Como você avalia seu conhecimento sobre o Projeto Pedagógico (PPC) do seu curso?</t>
  </si>
  <si>
    <t>Perguntas Propostas por Eixo — linha 8 (pergunta candidata)</t>
  </si>
  <si>
    <t>6 - Ouvidoria da UniFECAF</t>
  </si>
  <si>
    <t>Você sabe como registrar uma reclamação, sugestão ou elogio formal à faculdade (ouvidoria)?</t>
  </si>
  <si>
    <t>Perguntas Propostas por Eixo — linha 22 (pergunta candidata)</t>
  </si>
  <si>
    <t>7 - Resultados da Comissão Própria de Avaliação (CPA)</t>
  </si>
  <si>
    <t>Como você avalia a clareza e a frequência com que os resultados e ações da CPA são divulgados para os alunos?
Você sabe que a UniFECAF tem uma Comissão Própria de Avaliação (CPA) que analisa as respostas desta pesquisa?</t>
  </si>
  <si>
    <t>Perguntas Propostas por Eixo — linha 21 (pergunta candidata)
Perguntas Propostas por Eixo — linha 3 (pergunta candidata)</t>
  </si>
  <si>
    <t>8 - Núcleo de Atendimento Psicopedagógico - NAP</t>
  </si>
  <si>
    <t>Como você avalia o apoio psicológico/psicopedagógico oferecido pela faculdade?</t>
  </si>
  <si>
    <t>Perguntas Propostas por Eixo — linha 23 (pergunta candidata)</t>
  </si>
  <si>
    <t>Lá avalia o apoio; aqui mede o conhecimento sobre o NAP.</t>
  </si>
  <si>
    <t>9 - Missão da UniFECAF</t>
  </si>
  <si>
    <t>Como você avalia seu conhecimento sobre a missão e os valores da UniFECAF?</t>
  </si>
  <si>
    <t>Perguntas Propostas por Eixo — linha 7 (pergunta candidata)</t>
  </si>
  <si>
    <t>10 - Plano de Desenvolvimento Institucional (PDI) da UniFECAF</t>
  </si>
  <si>
    <t>Tema próximo: Perguntas Propostas linha 10 (objetivos institucionais), mas não cita o PDI.</t>
  </si>
  <si>
    <t>11 - Deixe aqui seu(s) comentário(s) sobre Planejamento e Desenvolvimento Institucional se desejar</t>
  </si>
  <si>
    <t>incluir</t>
  </si>
  <si>
    <t>revisar — Eixo 1 ou 2</t>
  </si>
  <si>
    <t>revisar — o bloco mistura Dimensões 1, 3 e 8</t>
  </si>
  <si>
    <t>Classificado pela CPA (planilha antiga sem dimensão): Eixo 1 ou 2</t>
  </si>
  <si>
    <t>POLÍTICAS ACADÊMICAS - VISÃO DO ALUNO 139</t>
  </si>
  <si>
    <t>1 - Com relação à minha representatividade como aluno nas reuniões administrativas da UniFECAF, sinto-me:</t>
  </si>
  <si>
    <t>DIREÇÃO</t>
  </si>
  <si>
    <t>Organização e Gestão da Instituição (6)</t>
  </si>
  <si>
    <t>1- Como você avalia o acolhimento da instituição em relação às suas necessidades como estudante</t>
  </si>
  <si>
    <t>Tema próximo: CPA Atual linhas 102 e 105 (participação/representantes junto à COORDENAÇÃO); aqui é nas reuniões ADMINISTRATIVAS da instituição.</t>
  </si>
  <si>
    <t>2 - Com relação aos cursos extra-curriculares relativos ao meu curso, sinto-me:</t>
  </si>
  <si>
    <t>COORDENAÇÃO</t>
  </si>
  <si>
    <t>2 - Com relação às atividades extra-curriculares relativos ao meu curso, sinto-me:
(curso de extensão, eventos,etc)</t>
  </si>
  <si>
    <t>Atividades extracurriculares relativos ao seu curso (cursos de extensão, visitas técnicas, eventos, etc..)
Como você avalia a oferta de atividades de extensão relacionadas ao seu curso (projetos, visitas técnicas, eventos)?</t>
  </si>
  <si>
    <t>CPA Atual (por eixo) — linha 85 (repete nas linhas 91 e 97)
Perguntas Propostas por Eixo — linha 15 (candidata)</t>
  </si>
  <si>
    <t>3 - Com relação à comunicação entre alunos e professores, sinto-me</t>
  </si>
  <si>
    <t>3 - Com relação à comunicação entre alunos e coordenadores, sinto-me</t>
  </si>
  <si>
    <t>CPA Atual linha 87 pergunta o mesmo sobre o COORDENADOR, não sobre professores (a própria OBS da planilha antiga sugeria trocar para coordenadores).</t>
  </si>
  <si>
    <t>4 - Com relação aos conteúdos das publicações realizadas nas redes sociais da UniFECAF (FACEBOOK, INSTAGRAM, LINKEDIN e TIKTOK), estou:</t>
  </si>
  <si>
    <t>CPA Atual (por eixo) — linha 89 (repete nas linhas 95 e 101)</t>
  </si>
  <si>
    <t>5 - Com relação às ações de responsabilidade social da UniFECAF, estou:</t>
  </si>
  <si>
    <t>Comunicação com a Sociedade (4)</t>
  </si>
  <si>
    <t>Atuação da UniFECAF em projetos sociais e ajuda à comunidade
Como você avalia a atuação da UniFECAF em projetos sociais e de impacto na comunidade?</t>
  </si>
  <si>
    <t>CPA Atual (por eixo) — linha 86 (repete nas linhas 92 e 98)
Perguntas Propostas por Eixo — linha 11 (candidata)</t>
  </si>
  <si>
    <t>6 - Considero que as iniciativas de Inovação da UniFECAF refletem positivamente no meu processo de aprendizagem</t>
  </si>
  <si>
    <t>CPA Atual (por eixo) — linha 88 (repete nas linhas 94 e 100)</t>
  </si>
  <si>
    <t>7 - Deixe aqui seus comentários sobre a Avaliação das Políticas Acadêmicas (opcional):</t>
  </si>
  <si>
    <t>CPA Atual (por eixo) — linha 150</t>
  </si>
  <si>
    <t>POLÍTICAS DE GESTÃO - VISÃO DO ALUNO 134</t>
  </si>
  <si>
    <t>1 - Com relação à gestão do meu curso (sinto que todos têm a possibilidade de participar, fazer sugestões para melhorar o curso), estou:</t>
  </si>
  <si>
    <t>2- Como você avalia o espaço dado pela gestão do curso para a participação dos alunos</t>
  </si>
  <si>
    <t>CPA Atual (por eixo) — linha 102 (repete nas linhas 107 e 112)</t>
  </si>
  <si>
    <t>2 - Com relação à atuação da coordenação do meu curso, estou:</t>
  </si>
  <si>
    <t>CPA Atual (por eixo) — linha 103 (repete nas linhas 108 e 113)</t>
  </si>
  <si>
    <t>3 - Com relação à  disponibilidade da coordenação do meu curso para atendimento dos alunos, estou:</t>
  </si>
  <si>
    <t>CPA Atual (por eixo) — linha 104 (repete nas linhas 109 e 114)</t>
  </si>
  <si>
    <t>4 - A coordenação do Curso promove e realiza reuniões com os representantes da turma:</t>
  </si>
  <si>
    <t>CPA Atual (por eixo) — linha 105 (repete nas linhas 110 e 115)</t>
  </si>
  <si>
    <t>5 - Considero o relacionamento do coordenador do curso em relação aos alunos</t>
  </si>
  <si>
    <t>CPA Atual (por eixo) — linha 106 (repete nas linhas 111 e 116)</t>
  </si>
  <si>
    <t>6 - Deixe aqui seus comentários sobre a Coordenação do curso (opcional):</t>
  </si>
  <si>
    <t>Classificado pela CPA (planilha antiga sem dimensão): bloco Políticas de Gestão</t>
  </si>
  <si>
    <t>CPA Atual (por eixo) — linha 152</t>
  </si>
  <si>
    <t>AVALIAÇÃO INFRAESTRUTURA - VISÃO DO ALUNO 127</t>
  </si>
  <si>
    <t>Com relação à comunicação com a UniFECAF, indique a frequência de utilização de cada plataforma:</t>
  </si>
  <si>
    <t>1 - Whatsapp</t>
  </si>
  <si>
    <t>Escala de 5 pontos (frequência)</t>
  </si>
  <si>
    <t>Com muita frequência / Frequentemente / Ocasionalmente / Raramente / Nunca</t>
  </si>
  <si>
    <t>revisar — uso de canais; pode ser Dimensão 4 ou dado de perfil</t>
  </si>
  <si>
    <t>Tema próximo: Perguntas Propostas linha 19 (avaliação dos canais de comunicação interna); aqui é frequência de uso por canal.</t>
  </si>
  <si>
    <t>2 - Email</t>
  </si>
  <si>
    <t>3 - Redes Sociais</t>
  </si>
  <si>
    <t>4 - Presencial</t>
  </si>
  <si>
    <t>5- AVA</t>
  </si>
  <si>
    <t>6 - Outros</t>
  </si>
  <si>
    <t>Avalie por nível de satisfação os seguintes itens:</t>
  </si>
  <si>
    <t>1 - Serviço de portaria</t>
  </si>
  <si>
    <t>Infraestrutura Física (7)</t>
  </si>
  <si>
    <t>CPA Atual (por eixo) — linha 43 (e 63, 83)</t>
  </si>
  <si>
    <t>2 - Acessibilidade das instalações</t>
  </si>
  <si>
    <t>CPA Atual (por eixo) — linha 25 (e 45, 65)</t>
  </si>
  <si>
    <t>3 - Atendimento da biblioteca</t>
  </si>
  <si>
    <t>INFRAESTRUTURA FÍSICA</t>
  </si>
  <si>
    <t>Políticas de Pessoas (5)</t>
  </si>
  <si>
    <t>CPA Atual (por eixo) — linha 26 (e 46, 66)</t>
  </si>
  <si>
    <t>4 - Espaço físico da biblioteca</t>
  </si>
  <si>
    <t>CPA Atual (por eixo) — linha 31 (e 51, 71)</t>
  </si>
  <si>
    <t>5 - Acervo físico e virtual da biblioteca</t>
  </si>
  <si>
    <t>CPA Atual (por eixo) — linha 24 (e 44, 64)</t>
  </si>
  <si>
    <t>6 - Atendimento das cantinas</t>
  </si>
  <si>
    <t>CPA Atual (por eixo) — linha 27 (e 47, 67)</t>
  </si>
  <si>
    <t>7 - Higiene e limpeza das cantinas</t>
  </si>
  <si>
    <t>CPA Atual (por eixo) — linha 32 (e 52, 72)</t>
  </si>
  <si>
    <t>8 - Preço dos produtos das cantinas</t>
  </si>
  <si>
    <t>CPA Atual (por eixo) — linha 36 (e 56, 76)</t>
  </si>
  <si>
    <t>9 - Qualidade e variedade dos produtos das cantinas</t>
  </si>
  <si>
    <t>CPA Atual (por eixo) — linha 41 (e 61, 81)</t>
  </si>
  <si>
    <t>10 - Atendimento da copiadora</t>
  </si>
  <si>
    <t>excluir</t>
  </si>
  <si>
    <t>⚠ Marcada "excluir" na planilha antiga. Copiadora não aparece no arquivo atual (já marcada "excluir" na planilha antiga).</t>
  </si>
  <si>
    <t>11 - Preço dos produtos e serviços da copiadora</t>
  </si>
  <si>
    <t>⚠ Marcada "excluir" na planilha antiga. Idem — marcada "excluir" na planilha antiga.</t>
  </si>
  <si>
    <t>12 - Qualidade dos produtos e serviços da copiadora</t>
  </si>
  <si>
    <t>13 - Atendimento do Departamento de Tecnologia da Informação (TI)</t>
  </si>
  <si>
    <t>CPA Atual (por eixo) — linha 28 (e 48, 68)</t>
  </si>
  <si>
    <t>14 - Qualidade dos laboratórios de informática</t>
  </si>
  <si>
    <t>CPA Atual (por eixo) — linha 40 (e 60, 80)</t>
  </si>
  <si>
    <t>Só muda maiúscula/minúscula.</t>
  </si>
  <si>
    <t>15 - Quantidade de computadores e chromebooks</t>
  </si>
  <si>
    <t>CPA Atual (por eixo) — linha 42 (e 62, 82)</t>
  </si>
  <si>
    <t>A antiga inclui "e chromebooks".</t>
  </si>
  <si>
    <t>16 - Qualidade da conexão à internet sem fio (wi-fi)</t>
  </si>
  <si>
    <t>CPA Atual (por eixo) — linha 37 (e 57, 77)</t>
  </si>
  <si>
    <t>Só muda a grafia de "Wi‑Fi".</t>
  </si>
  <si>
    <t>17 - Qualidade dos Laboratórios Específicos</t>
  </si>
  <si>
    <t>CPA Atual (por eixo) — linha 39 (e 59, 79)</t>
  </si>
  <si>
    <t>18 - Qualidade das salas de aula</t>
  </si>
  <si>
    <t>CPA Atual (por eixo) — linha 38 (e 58, 78)</t>
  </si>
  <si>
    <t>19 - Limpeza das salas de aula</t>
  </si>
  <si>
    <t>CPA Atual (por eixo) — linha 34 (e 54, 74)</t>
  </si>
  <si>
    <t>20 - Higiene e limpeza dos banheiros</t>
  </si>
  <si>
    <t>CPA Atual (por eixo) — linha 33 (e 53, 73)</t>
  </si>
  <si>
    <t>21 - Portal do aluno (Mentor web)</t>
  </si>
  <si>
    <t>CPA Atual (por eixo) — linha 35 (e 55, 75)</t>
  </si>
  <si>
    <t>Mesmo item; o sistema mudou de nome (Mentor web → UniFECAF ONE).</t>
  </si>
  <si>
    <t>22 - Atendimento do setor Agiliza (</t>
  </si>
  <si>
    <t>CENTRAL DE RELACIONAMENTO COM O ALUNO-CRA</t>
  </si>
  <si>
    <t>CPA Atual (por eixo) — linha 29 (e 49, 69)</t>
  </si>
  <si>
    <t>Na antiga o texto termina com um "(" solto.</t>
  </si>
  <si>
    <t>23 - Atendimento do setor Sucesso do Aluno ( Empregabilidade, Retenção de alunos que desejam trancar o curso, Cobrança e negociação com alunos, Serasa e Limpa Nome,Conecta+)</t>
  </si>
  <si>
    <t>CPA Atual (por eixo) — linha 30 (e 50, 70)</t>
  </si>
  <si>
    <t>Parcial: só a parte de Empregabilidade corresponde ao "setor de Carreiras"; retenção, cobrança/negociação, Serasa/Limpa Nome e Conecta+ não têm pergunta no arquivo atual (ver Perguntas Propostas linha 33, negociação financeira).</t>
  </si>
  <si>
    <t>24 - Se desejar deixe aqui seus comentários sobre a Infraestrutura Física:</t>
  </si>
  <si>
    <t>CPA Atual (por eixo) — linha 149</t>
  </si>
  <si>
    <t>AUTOAVALIAÇÃO ALUNO EAD - VISÃO DO ALUNO 136</t>
  </si>
  <si>
    <t>1 - Em relação às disciplinas cursadas neste semestre, posso dizer que estou:</t>
  </si>
  <si>
    <t>AUTOAVALIAÇÃO ALUNO</t>
  </si>
  <si>
    <t>Eixo</t>
  </si>
  <si>
    <t>Classificado pela CPA (planilha antiga sem dimensão): satisfação com as disciplinas = ensino</t>
  </si>
  <si>
    <t>Bloco de autoavaliação do aluno não existe no arquivo atual.</t>
  </si>
  <si>
    <t>Dimensão</t>
  </si>
  <si>
    <t>2 - Com relação à minha expectativa quanto à escolha do curso e carreira profissional estou:</t>
  </si>
  <si>
    <t>Perguntas</t>
  </si>
  <si>
    <t>revisar — autoavaliação do aluno, sem dimensão clara</t>
  </si>
  <si>
    <t>3 - A minha satisfação em relação ao meu rendimento acadêmico é:</t>
  </si>
  <si>
    <t>4 - Com relação à minha experiência com o uso da Biblioteca física e virtual para aprofundamento dos meus estudos, sinto-me:</t>
  </si>
  <si>
    <t>4 - Com relação à minha experiência com o uso da Biblioteca para aprofundamento dos meus estudos, sinto-me:</t>
  </si>
  <si>
    <t>revisar — autoavaliação (uso da biblioteca): Dimensão 2 ou 7</t>
  </si>
  <si>
    <t>1 — Planejamento e Avaliação</t>
  </si>
  <si>
    <t>Autoavaliação; a CPA Atual avalia a biblioteca (linhas 24, 26, 31), mas não o USO que o aluno faz dela.</t>
  </si>
  <si>
    <t>8 — Planejamento e Avaliação</t>
  </si>
  <si>
    <t>5 - Com relação à minha participação nos eventos realizados pela UniFECAF (Jornadas Acadêmicas, Seminários, Palestras, Atividades de Responsabilidade Social e outros), estou:</t>
  </si>
  <si>
    <t>revisar — autoavaliação (participação em eventos): Dimensão 2 ou 3</t>
  </si>
  <si>
    <t>Autoavaliação; tema próximo CPA Atual linha 85 (oferta de atividades extracurriculares).</t>
  </si>
  <si>
    <t>Coberta, mas fraca (só "Recomenda a UniFECAF…")</t>
  </si>
  <si>
    <t>Se desejar deixe aqui seus comentários acerca do seu desempenho enquanto aluno:</t>
  </si>
  <si>
    <t>2 — Desenvolvimento Institucional</t>
  </si>
  <si>
    <t>1 — Missão e PDI</t>
  </si>
  <si>
    <t>AMBIENTE VIRTUAL - ALUNO EAD 133</t>
  </si>
  <si>
    <t>1 - Equipe de suporte do EAD respondeu em tempo adequado</t>
  </si>
  <si>
    <t>Sem pergunta</t>
  </si>
  <si>
    <t>Repete a linha 39 da própria planilha antiga.</t>
  </si>
  <si>
    <t>3 — Responsabilidade Social</t>
  </si>
  <si>
    <t>3 - AVA - Ambiente Virtual de Aprendizagem atendeu às minhas necessidades</t>
  </si>
  <si>
    <t>Coberta, mas fraca (só "Atuação… em projetos sociais")</t>
  </si>
  <si>
    <t>Repete a linha 41 da própria planilha antiga.</t>
  </si>
  <si>
    <t>3 — Políticas Acadêmicas</t>
  </si>
  <si>
    <t>2 — Ensino, Pesquisa e Extensão</t>
  </si>
  <si>
    <t>Muito coberta (conteúdos, docente, lives, tutores)</t>
  </si>
  <si>
    <t>7 - Quando utilizo meu COMPUTADOR/NOTEBOOK para acessar as minhas disciplinas EAD, consigo realizar as atividades de forma:</t>
  </si>
  <si>
    <t>4 — Comunicação com a Sociedade</t>
  </si>
  <si>
    <t>Coberta, mas fraca (só redes sociais)</t>
  </si>
  <si>
    <t>Repete a linha 45 da própria planilha antiga.</t>
  </si>
  <si>
    <t>8 - Quando utilizo o CELULAR/TABLET para acessar as minhas disciplinas EAD, consigo realizar as atividades de forma:</t>
  </si>
  <si>
    <t>9 — Atendimento aos Discentes</t>
  </si>
  <si>
    <t>Coberta (Acolhimento, Agiliza, Carreiras)</t>
  </si>
  <si>
    <t>Repete a linha 46 da própria planilha antiga.</t>
  </si>
  <si>
    <t>9 - A visualização e localização dos conteúdos na plataforma acontece de forma:</t>
  </si>
  <si>
    <t>revisar (4 ou 9 / bloco misto)</t>
  </si>
  <si>
    <t>"Comunicação entre alunos e coordenador" + 2 campos de comentário</t>
  </si>
  <si>
    <t>9 - Com relação à visualização e localização dos conteúdos na plataforma, estou:</t>
  </si>
  <si>
    <t>4 — Políticas de Gestão</t>
  </si>
  <si>
    <t>5 — Políticas de Pessoal</t>
  </si>
  <si>
    <t>Repete a linha 47 da própria planilha antiga.</t>
  </si>
  <si>
    <t>10 - Se desejar deixe aqui seus comentários sobre a Infraestrutura Virtual:</t>
  </si>
  <si>
    <t>6 — Organização e Gestão</t>
  </si>
  <si>
    <t>Coberta (tudo sobre coordenação de curso)</t>
  </si>
  <si>
    <t>Repete a linha 48 da própria planilha antiga.</t>
  </si>
  <si>
    <t>CONTEÚDO DAS DISCIPLINAS - ALUNO EAD 130</t>
  </si>
  <si>
    <t>10 — Sustentabilidade Financeira</t>
  </si>
  <si>
    <t>6 - Os materiais escritos (textos, infográficos, mapas etc.) apresentaram conteúdo adequado</t>
  </si>
  <si>
    <t>5 — Infraestrutura Física</t>
  </si>
  <si>
    <t>7 — Infraestrutura Física</t>
  </si>
  <si>
    <t>CPA Atual (por eixo) — linha 6 (e 10, 14)</t>
  </si>
  <si>
    <t>Muito coberta</t>
  </si>
  <si>
    <t>De modo geral, as videoaulas apresentaram conteúdo relevante e significativo</t>
  </si>
  <si>
    <t>Com relação ao conteúdo das videoaulas, estou</t>
  </si>
  <si>
    <t>CPA Atual (por eixo) — linha 4 (e 8, 12)</t>
  </si>
  <si>
    <t>As avaliações são pertinentes aos conteúdos apresentados</t>
  </si>
  <si>
    <t>Com relação às avaliações e aos conteúdos apresentados, estou:</t>
  </si>
  <si>
    <t>Classificado pela CPA (planilha antiga sem dimensão): mesmo bloco (Conteúdo das Disciplinas)</t>
  </si>
  <si>
    <t>CPA Atual (por eixo) — linha 3 (e 7, 11)</t>
  </si>
  <si>
    <t>Os estudos de casos estão coerentes com as disciplinas</t>
  </si>
  <si>
    <t>Com relação aos estudos de casos, estou:</t>
  </si>
  <si>
    <t>CPA Atual (por eixo) — linha 5 (e 9, 13)</t>
  </si>
  <si>
    <t>Se desejar deixe aqui seus comentários sobre os Conteúdos das Disciplinas</t>
  </si>
  <si>
    <t>CPA Atual (por eixo) — linha 147</t>
  </si>
  <si>
    <t>PROFESSOR DAS LIVES - ALUNO EAD 131</t>
  </si>
  <si>
    <t>O tempo de duração das lives foi adequado para a explicação do conteúdo</t>
  </si>
  <si>
    <t>Com relação ao tempo de duração das lives, estou:</t>
  </si>
  <si>
    <t>CPA Atual (por eixo) — linha 120 (e 124, 128)</t>
  </si>
  <si>
    <t>Os professores das lives apresentam domínio do conteúdo, sabem do que estão falando</t>
  </si>
  <si>
    <t>Com relação aos professores de live e seu domínio do conteúdo, estou:</t>
  </si>
  <si>
    <t>Classificado pela CPA (planilha antiga sem dimensão): mesmo bloco (Professor das Lives)</t>
  </si>
  <si>
    <t>CPA Atual (por eixo) — linha 117 (e 121, 125)</t>
  </si>
  <si>
    <t>De modo geral, os professores das aulas mostram-se organizados e preparados para a aula</t>
  </si>
  <si>
    <t>Com relação à organização e preparo das aulas aulas ao vivo, estou:</t>
  </si>
  <si>
    <t>CPA Atual (por eixo) — linha 119 (e 123, 127)</t>
  </si>
  <si>
    <t>Se desejar deixe aqui seus comentários sobre os Professores das Lives</t>
  </si>
  <si>
    <t>CPA Atual (por eixo) — linha 154</t>
  </si>
  <si>
    <t>TUTORES DAS DISCIPLINAS - ALUNO EAD 137</t>
  </si>
  <si>
    <t>Com relação ao tempo de resposta do(a) tutor(a) estou</t>
  </si>
  <si>
    <t>Classificado pela CPA (planilha antiga sem dimensão): segue a CPA Atual (Tutores → Eixo 3); obs.: na antiga, "tempo de resposta do Professor-tutor" (linha 40) estava como Dimensão 9</t>
  </si>
  <si>
    <t>CPA Atual (por eixo) — linha 140 (e 143, 146)</t>
  </si>
  <si>
    <t>Considero o(a) tutor(a) atencio(a) e prestativo(a)</t>
  </si>
  <si>
    <t>Com relação à atenção e prestatividade do tutor, estou:</t>
  </si>
  <si>
    <t>Classificado pela CPA (planilha antiga sem dimensão): segue a CPA Atual (Tutores → Eixo 3)</t>
  </si>
  <si>
    <t>CPA Atual (por eixo) — linha 138 (e 141, 144)</t>
  </si>
  <si>
    <t>O(a) tutor(a) apresenta bom conhecimento sobre os assuntos das disciplinas</t>
  </si>
  <si>
    <t>Com relação ao conhecimento do tutor sobre os assuntos das disciplinas, estou:</t>
  </si>
  <si>
    <t>CPA Atual (por eixo) — linha 139 (e 142, 145)</t>
  </si>
  <si>
    <t>Se desejar deixe aqui seus comentários sobre os Tutores:</t>
  </si>
  <si>
    <t>CPA Atual (por eixo) — linha 155</t>
  </si>
  <si>
    <t>Já perguntamos algo parecido hoje?</t>
  </si>
  <si>
    <t>Perguntas Candidatas (adaptada)</t>
  </si>
  <si>
    <t>Observação / inspiração</t>
  </si>
  <si>
    <t>Eixo 1</t>
  </si>
  <si>
    <t>Dimensão 8 — Planejamento e Avaliação Institucional</t>
  </si>
  <si>
    <t>Não</t>
  </si>
  <si>
    <t>Você sabe que a UniFECAF tem uma Comissão Própria de Avaliação (CPA) que analisa as respostas desta pesquisa?</t>
  </si>
  <si>
    <t>Eixo praticamente sem cobertura hoje — mede se o aluno percebe que a CPA existe e atua.</t>
  </si>
  <si>
    <t>Você já percebeu alguma mudança concreta na faculdade que veio de uma pesquisa anterior da CPA?</t>
  </si>
  <si>
    <t>É o indicador mais forte de "a CPA gera ação" — conecta direto com o card que vocês vão mandar pros coordenadores.</t>
  </si>
  <si>
    <t>Você confia que a sua resposta aqui gera alguma ação real por parte da faculdade?</t>
  </si>
  <si>
    <t>Mede a credibilidade percebida do próprio instrumento de pesquisa.</t>
  </si>
  <si>
    <t>Você se sente à vontade para responder com sinceridade a esta pesquisa?</t>
  </si>
  <si>
    <t>Mede se o aluno teme retaliação — importante pra validar a qualidade dos dados coletados.</t>
  </si>
  <si>
    <t>Eixo 2</t>
  </si>
  <si>
    <t>Dimensão 1 — Missão e Plano de Desenvolvimento Institucional (PDI)</t>
  </si>
  <si>
    <t>Baseado em modelo real de outra IES (Faculdade ICTQ).</t>
  </si>
  <si>
    <t>Mesma fonte — pergunta padrão de Dimensão 1 em várias CPAs pesquisadas.</t>
  </si>
  <si>
    <t>Você sente que as ações do dia a dia da faculdade refletem a missão que ela divulga?</t>
  </si>
  <si>
    <t>Vai além do "conhecer" a missão — mede coerência percebida entre discurso e prática.</t>
  </si>
  <si>
    <t>Como você avalia a clareza com que a UniFECAF comunica seus objetivos institucionais aos alunos?</t>
  </si>
  <si>
    <t>Complementa a pergunta 1 olhando para o canal de comunicação, não só o conteúdo.</t>
  </si>
  <si>
    <t>Dimensão 3 — Responsabilidade Social da Instituição</t>
  </si>
  <si>
    <t>Sim — já existe em Políticas Acadêmicas</t>
  </si>
  <si>
    <t>Como você avalia a atuação da UniFECAF em projetos sociais e de impacto na comunidade?</t>
  </si>
  <si>
    <t>Já está no instrumento atual; mantenha se quiser reforçar o eixo, ou remova daqui.</t>
  </si>
  <si>
    <t>Parcial — Onboarding pergunta a fonte de renda do aluno, mas não avalia a política em si</t>
  </si>
  <si>
    <t>Fecha a lacuna entre "dado cadastral" e "percepção de qualidade da política".</t>
  </si>
  <si>
    <t>Parcial — cobre com o bloco novo de Empregabilidade</t>
  </si>
  <si>
    <t>Como você avalia as parcerias da UniFECAF com empresas e instituições para estágio, emprego ou projetos práticos?</t>
  </si>
  <si>
    <t>Evitar duplicar se o bloco de Empregabilidade for aprovado.</t>
  </si>
  <si>
    <t>Pergunta de conhecimento/lembrança, complementa a de avaliação de qualidade.</t>
  </si>
  <si>
    <t>Eixo 3</t>
  </si>
  <si>
    <t>Dimensão 2 — Políticas para o Ensino, a Pesquisa e a Extensão</t>
  </si>
  <si>
    <t>Como você avalia a oferta de atividades de extensão relacionadas ao seu curso (projetos, visitas técnicas, eventos)?</t>
  </si>
  <si>
    <t>Item já coberto; considere só ajustar o texto.</t>
  </si>
  <si>
    <t>Como você avalia as oportunidades de iniciação científica ou pesquisa oferecidas no seu curso?</t>
  </si>
  <si>
    <t>Pesquisa é citada no nome da dimensão mas não tem pergunta própria hoje.</t>
  </si>
  <si>
    <t>Como você avalia a oferta de cursos de pós-graduação da UniFECAF?</t>
  </si>
  <si>
    <t>Parcial — proposta nova do NEAD cobre isso pra material EAD</t>
  </si>
  <si>
    <t>Em que medida o conteúdo do seu curso é útil para sua prática profissional e para o seu dia a dia?</t>
  </si>
  <si>
    <t>Já coberto se a proposta do NEAD for aprovada; não duplicar.</t>
  </si>
  <si>
    <t>Como você avalia os canais de comunicação interna da UniFECAF (e-mail, avisos, grupos, mural)?</t>
  </si>
  <si>
    <t>Eixo quase sem cobertura — hoje só existe pergunta sobre redes sociais externas.</t>
  </si>
  <si>
    <t>Como você avalia o site e os canais digitais oficiais da UniFECAF?</t>
  </si>
  <si>
    <t>Como você avalia a clareza e a frequência com que os resultados e ações da CPA são divulgados para os alunos?</t>
  </si>
  <si>
    <t>Conecta Comunicação (Eixo 3) com Planejamento e Avaliação (Eixo 1) — reforça a mensagem do card pros coordenadores.</t>
  </si>
  <si>
    <t>Ouvidoria é citada como sub-item de Comunicação em várias CPAs pesquisadas — verificar se a UniFECAF tem canal formal.</t>
  </si>
  <si>
    <t>Dimensão 9 — Política de Atendimento aos Discentes</t>
  </si>
  <si>
    <t>Lacuna clara — infraestrutura já cobre biblioteca/TI/cantina, mas não apoio emocional.</t>
  </si>
  <si>
    <t>Parcial — já existe "Atendimento do setor de Carreiras" e o bloco novo de Empregabilidade</t>
  </si>
  <si>
    <t>Como você avalia a orientação de carreira e o apoio à empregabilidade oferecidos pela UniFECAF?</t>
  </si>
  <si>
    <t>Considerar manter só uma versão-resumo aqui se o bloco de Empregabilidade for aprovado.</t>
  </si>
  <si>
    <t>Como você avalia o suporte da faculdade a alunos com deficiência ou necessidades específicas de aprendizagem?</t>
  </si>
  <si>
    <t>"Acessibilidade das instalações" hoje é só sobre espaço físico, não sobre suporte pedagógico.</t>
  </si>
  <si>
    <t>Parcial — cobre com o bloco novo de Empregabilidade (Pesquisa Egresso)</t>
  </si>
  <si>
    <t>Como você avalia o acompanhamento oferecido pela faculdade a alunos formandos e egressos?</t>
  </si>
  <si>
    <t>Evitar duplicar se o bloco novo for aprovado.</t>
  </si>
  <si>
    <t>Eixo 4</t>
  </si>
  <si>
    <t>Dimensão 5 — Políticas de Pessoal (corpo docente e técnico-administrativo)</t>
  </si>
  <si>
    <t>Parcial — Docente já cobre isso com mais profundidade</t>
  </si>
  <si>
    <t>Como você avalia o preparo e a atualização dos professores do seu curso?</t>
  </si>
  <si>
    <t>Dimensão normalmente respondida por pesquisa com professores/RH, não com alunos — usar com cautela.</t>
  </si>
  <si>
    <t>Parcial — Infraestrutura já pergunta atendimento setor a setor</t>
  </si>
  <si>
    <t>Versão agregada da dimensão; pode ser redundante com o que já existe.</t>
  </si>
  <si>
    <t>Dimensão 6 — Organização e Gestão da Instituição</t>
  </si>
  <si>
    <t>Como você avalia a organização geral da secretaria acadêmica (matrícula, documentos, financeiro)?</t>
  </si>
  <si>
    <t>"Políticas de Gestão" hoje foca só na coordenação de curso, não na gestão institucional mais ampla.</t>
  </si>
  <si>
    <t>Como você avalia o trabalho da Direção/Reitoria da UniFECAF?</t>
  </si>
  <si>
    <t>Baseado em modelo real de outra IES (Faculdade ICTQ) — "trabalho da Direção Geral".</t>
  </si>
  <si>
    <t>Como você avalia a transparência da faculdade nas decisões que afetam os alunos?</t>
  </si>
  <si>
    <t>Complementa a Dimensão 1 (Planejamento e Avaliação) olhando para gestão do dia a dia.</t>
  </si>
  <si>
    <t>Como você avalia a clareza das informações sobre mensalidade e cobrança?</t>
  </si>
  <si>
    <t>Dimensão normalmente avaliada via documentos financeiros internos, não pesquisa de aluno — versão simplificada, baseada em modelo real (Faculdade ICTQ perguntou "sistema de cobrança de mensalidades").</t>
  </si>
  <si>
    <t>Como você avalia o processo de negociação ou renegociação financeira quando necessário?</t>
  </si>
  <si>
    <t>Mesma ressalva acima — usar com cautela, é mais operacional que institucional.</t>
  </si>
  <si>
    <t>Eixo 5</t>
  </si>
  <si>
    <t>Como você avalia a segurança das instalações da faculdade/polo?</t>
  </si>
  <si>
    <t>Eixo já tem 18 perguntas — está muito bem coberto. Essa é uma lacuna pontual real.</t>
  </si>
  <si>
    <t>Parcial — já existe "Acessibilidade das instalações", mas é genérica</t>
  </si>
  <si>
    <t>Como você avalia a estrutura de acessibilidade para pessoas com deficiência ou mobilidade reduzida, além da parte física (rampas, banheiros adaptados)?</t>
  </si>
  <si>
    <t>Poderia detalhar mais o que já existe, em vez de criar pergunta nova.</t>
  </si>
  <si>
    <t>Perguntas candidatas para a CPA 2026 — organizadas pelos 5 eixos e 10 dimensões do SINAES (Lei 10.861/2004), baseadas em modelos reais de outras IES e adaptadas à linguagem da UniFECAF. Nenhuma pergunta aqui está aprovada — é material de referência para vocês decidirem o que entra.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</si>
</sst>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b/>
      <sz val="13.0"/>
      <color rgb="FF12395E"/>
      <name val="Arial"/>
    </font>
    <font>
      <i/>
      <sz val="9.0"/>
      <color rgb="FF666666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12395E"/>
      <name val="Arial"/>
    </font>
    <font>
      <sz val="9.0"/>
      <color rgb="FF666666"/>
      <name val="Arial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color theme="1"/>
      <name val="Calibri"/>
    </font>
    <font>
      <b/>
      <color rgb="FFFFFFFF"/>
      <name val="Arial"/>
    </font>
    <font>
      <b/>
      <color rgb="FF000000"/>
      <name val="Arial"/>
    </font>
    <font>
      <color theme="1"/>
      <name val="Arial"/>
    </font>
    <font/>
  </fonts>
  <fills count="20">
    <fill>
      <patternFill patternType="none"/>
    </fill>
    <fill>
      <patternFill patternType="lightGray"/>
    </fill>
    <fill>
      <patternFill patternType="solid">
        <fgColor rgb="FF1C6DB3"/>
        <bgColor rgb="FF1C6DB3"/>
      </patternFill>
    </fill>
    <fill>
      <patternFill patternType="solid">
        <fgColor rgb="FF2FAE60"/>
        <bgColor rgb="FF2FAE60"/>
      </patternFill>
    </fill>
    <fill>
      <patternFill patternType="solid">
        <fgColor rgb="FFFFF6CC"/>
        <bgColor rgb="FFFFF6CC"/>
      </patternFill>
    </fill>
    <fill>
      <patternFill patternType="solid">
        <fgColor rgb="FFE8F7EE"/>
        <bgColor rgb="FFE8F7EE"/>
      </patternFill>
    </fill>
    <fill>
      <patternFill patternType="solid">
        <fgColor rgb="FFF5B7B1"/>
        <bgColor rgb="FFF5B7B1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FADBD8"/>
        <bgColor rgb="FFFADBD8"/>
      </patternFill>
    </fill>
    <fill>
      <patternFill patternType="solid">
        <fgColor rgb="FF8E44AD"/>
        <bgColor rgb="FF8E44AD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333333"/>
        <bgColor rgb="FF33333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2E86C1"/>
        <bgColor rgb="FF2E86C1"/>
      </patternFill>
    </fill>
    <fill>
      <patternFill patternType="solid">
        <fgColor rgb="FFFFF3CD"/>
        <bgColor rgb="FFFFF3CD"/>
      </patternFill>
    </fill>
    <fill>
      <patternFill patternType="solid">
        <fgColor rgb="FFD68910"/>
        <bgColor rgb="FFD68910"/>
      </patternFill>
    </fill>
  </fills>
  <borders count="10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bottom style="medium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shrinkToFit="0" vertical="top" wrapText="1"/>
    </xf>
    <xf borderId="1" fillId="4" fontId="5" numFmtId="0" xfId="0" applyAlignment="1" applyBorder="1" applyFill="1" applyFon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0" fillId="0" fontId="7" numFmtId="0" xfId="0" applyAlignment="1" applyFont="1">
      <alignment vertical="bottom"/>
    </xf>
    <xf borderId="0" fillId="6" fontId="5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7" fontId="5" numFmtId="0" xfId="0" applyAlignment="1" applyFill="1" applyFont="1">
      <alignment vertical="bottom"/>
    </xf>
    <xf borderId="0" fillId="8" fontId="5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shrinkToFit="0" vertical="top" wrapText="1"/>
    </xf>
    <xf borderId="1" fillId="9" fontId="5" numFmtId="0" xfId="0" applyAlignment="1" applyBorder="1" applyFill="1" applyFont="1">
      <alignment shrinkToFit="0" vertical="top" wrapText="1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top" wrapText="1"/>
    </xf>
    <xf borderId="3" fillId="2" fontId="4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shrinkToFit="0" vertical="center" wrapText="1"/>
    </xf>
    <xf borderId="3" fillId="10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shrinkToFit="0" vertical="top" wrapText="1"/>
    </xf>
    <xf borderId="3" fillId="4" fontId="5" numFmtId="0" xfId="0" applyAlignment="1" applyBorder="1" applyFill="1" applyFont="1">
      <alignment shrinkToFit="0" vertical="top" wrapText="1"/>
    </xf>
    <xf borderId="3" fillId="7" fontId="6" numFmtId="0" xfId="0" applyAlignment="1" applyBorder="1" applyFill="1" applyFont="1">
      <alignment shrinkToFit="0" vertical="top" wrapText="1"/>
    </xf>
    <xf borderId="3" fillId="8" fontId="6" numFmtId="0" xfId="0" applyAlignment="1" applyBorder="1" applyFill="1" applyFont="1">
      <alignment shrinkToFit="0" vertical="top" wrapText="1"/>
    </xf>
    <xf borderId="3" fillId="9" fontId="5" numFmtId="0" xfId="0" applyAlignment="1" applyBorder="1" applyFill="1" applyFont="1">
      <alignment shrinkToFit="0" vertical="top" wrapText="1"/>
    </xf>
    <xf borderId="3" fillId="6" fontId="6" numFmtId="0" xfId="0" applyAlignment="1" applyBorder="1" applyFill="1" applyFont="1">
      <alignment shrinkToFit="0" vertical="top" wrapText="1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left"/>
    </xf>
    <xf borderId="0" fillId="0" fontId="10" numFmtId="0" xfId="0" applyAlignment="1" applyFont="1">
      <alignment horizontal="left" readingOrder="0"/>
    </xf>
    <xf borderId="0" fillId="11" fontId="10" numFmtId="0" xfId="0" applyAlignment="1" applyFill="1" applyFont="1">
      <alignment horizontal="left" readingOrder="0"/>
    </xf>
    <xf borderId="0" fillId="12" fontId="10" numFmtId="0" xfId="0" applyAlignment="1" applyFill="1" applyFont="1">
      <alignment horizontal="left" readingOrder="0"/>
    </xf>
    <xf borderId="0" fillId="13" fontId="10" numFmtId="0" xfId="0" applyAlignment="1" applyFill="1" applyFont="1">
      <alignment horizontal="left" readingOrder="0"/>
    </xf>
    <xf borderId="0" fillId="0" fontId="11" numFmtId="0" xfId="0" applyAlignment="1" applyFont="1">
      <alignment horizontal="center" vertical="center"/>
    </xf>
    <xf borderId="1" fillId="14" fontId="12" numFmtId="0" xfId="0" applyAlignment="1" applyBorder="1" applyFill="1" applyFont="1">
      <alignment horizontal="center" shrinkToFit="0" vertical="center" wrapText="1"/>
    </xf>
    <xf borderId="1" fillId="14" fontId="12" numFmtId="0" xfId="0" applyAlignment="1" applyBorder="1" applyFill="1" applyFont="1">
      <alignment horizontal="center" shrinkToFit="0" wrapText="1"/>
    </xf>
    <xf borderId="1" fillId="15" fontId="13" numFmtId="0" xfId="0" applyAlignment="1" applyBorder="1" applyFill="1" applyFont="1">
      <alignment horizontal="center" readingOrder="0" shrinkToFit="0" vertical="center" wrapText="1"/>
    </xf>
    <xf borderId="4" fillId="10" fontId="12" numFmtId="0" xfId="0" applyAlignment="1" applyBorder="1" applyFill="1" applyFont="1">
      <alignment horizontal="center" shrinkToFit="0" vertical="center" wrapText="1"/>
    </xf>
    <xf borderId="1" fillId="0" fontId="14" numFmtId="0" xfId="0" applyAlignment="1" applyBorder="1" applyFont="1">
      <alignment shrinkToFit="0" vertical="top" wrapText="1"/>
    </xf>
    <xf borderId="1" fillId="12" fontId="14" numFmtId="0" xfId="0" applyAlignment="1" applyBorder="1" applyFill="1" applyFont="1">
      <alignment shrinkToFit="0" vertical="top" wrapText="1"/>
    </xf>
    <xf borderId="5" fillId="0" fontId="15" numFmtId="0" xfId="0" applyBorder="1" applyFont="1"/>
    <xf borderId="1" fillId="16" fontId="14" numFmtId="0" xfId="0" applyAlignment="1" applyBorder="1" applyFill="1" applyFont="1">
      <alignment shrinkToFit="0" vertical="top" wrapText="1"/>
    </xf>
    <xf borderId="6" fillId="0" fontId="15" numFmtId="0" xfId="0" applyBorder="1" applyFont="1"/>
    <xf borderId="7" fillId="0" fontId="14" numFmtId="0" xfId="0" applyAlignment="1" applyBorder="1" applyFont="1">
      <alignment shrinkToFit="0" vertical="top" wrapText="1"/>
    </xf>
    <xf borderId="7" fillId="12" fontId="14" numFmtId="0" xfId="0" applyAlignment="1" applyBorder="1" applyFill="1" applyFont="1">
      <alignment shrinkToFit="0" vertical="top" wrapText="1"/>
    </xf>
    <xf borderId="5" fillId="17" fontId="12" numFmtId="0" xfId="0" applyAlignment="1" applyBorder="1" applyFill="1" applyFont="1">
      <alignment horizontal="center" shrinkToFit="0" vertical="center" wrapText="1"/>
    </xf>
    <xf borderId="8" fillId="0" fontId="14" numFmtId="0" xfId="0" applyAlignment="1" applyBorder="1" applyFont="1">
      <alignment shrinkToFit="0" vertical="top" wrapText="1"/>
    </xf>
    <xf borderId="8" fillId="12" fontId="14" numFmtId="0" xfId="0" applyAlignment="1" applyBorder="1" applyFill="1" applyFont="1">
      <alignment shrinkToFit="0" vertical="top" wrapText="1"/>
    </xf>
    <xf borderId="9" fillId="0" fontId="14" numFmtId="0" xfId="0" applyAlignment="1" applyBorder="1" applyFont="1">
      <alignment shrinkToFit="0" vertical="top" wrapText="1"/>
    </xf>
    <xf borderId="1" fillId="11" fontId="14" numFmtId="0" xfId="0" applyAlignment="1" applyBorder="1" applyFill="1" applyFont="1">
      <alignment shrinkToFit="0" vertical="top" wrapText="1"/>
    </xf>
    <xf borderId="1" fillId="18" fontId="14" numFmtId="0" xfId="0" applyAlignment="1" applyBorder="1" applyFill="1" applyFont="1">
      <alignment shrinkToFit="0" vertical="top" wrapText="1"/>
    </xf>
    <xf borderId="5" fillId="2" fontId="12" numFmtId="0" xfId="0" applyAlignment="1" applyBorder="1" applyFill="1" applyFont="1">
      <alignment horizontal="center" shrinkToFit="0" vertical="center" wrapText="1"/>
    </xf>
    <xf borderId="8" fillId="11" fontId="14" numFmtId="0" xfId="0" applyAlignment="1" applyBorder="1" applyFill="1" applyFont="1">
      <alignment shrinkToFit="0" vertical="top" wrapText="1"/>
    </xf>
    <xf borderId="4" fillId="19" fontId="12" numFmtId="0" xfId="0" applyAlignment="1" applyBorder="1" applyFill="1" applyFont="1">
      <alignment horizontal="center" shrinkToFit="0" vertical="center" wrapText="1"/>
    </xf>
    <xf borderId="4" fillId="3" fontId="12" numFmtId="0" xfId="0" applyAlignment="1" applyBorder="1" applyFill="1" applyFont="1">
      <alignment horizontal="center" shrinkToFit="0" vertical="center" wrapText="1"/>
    </xf>
    <xf borderId="8" fillId="0" fontId="15" numFmtId="0" xfId="0" applyBorder="1" applyFont="1"/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42.0"/>
    <col customWidth="1" min="3" max="3" width="16.0"/>
    <col customWidth="1" min="4" max="5" width="42.0"/>
    <col customWidth="1" min="6" max="6" width="8.71"/>
  </cols>
  <sheetData>
    <row r="1" ht="15.75" customHeight="1">
      <c r="A1" s="1" t="s">
        <v>0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6" t="s">
        <v>11</v>
      </c>
      <c r="B3" s="6" t="s">
        <v>16</v>
      </c>
      <c r="C3" s="6" t="s">
        <v>17</v>
      </c>
      <c r="D3" s="6" t="s">
        <v>18</v>
      </c>
      <c r="E3" s="6" t="s">
        <v>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8" t="s">
        <v>23</v>
      </c>
      <c r="B4" s="8" t="s">
        <v>25</v>
      </c>
      <c r="C4" s="8">
        <v>61.0</v>
      </c>
      <c r="D4" s="8" t="s">
        <v>26</v>
      </c>
      <c r="E4" s="8" t="s">
        <v>28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3.25" customHeight="1">
      <c r="A5" s="8" t="s">
        <v>35</v>
      </c>
      <c r="B5" s="8" t="s">
        <v>38</v>
      </c>
      <c r="C5" s="8">
        <v>18.0</v>
      </c>
      <c r="D5" s="8" t="s">
        <v>40</v>
      </c>
      <c r="E5" s="8" t="s">
        <v>42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3.25" customHeight="1">
      <c r="A6" s="8" t="s">
        <v>46</v>
      </c>
      <c r="B6" s="8" t="s">
        <v>47</v>
      </c>
      <c r="C6" s="8">
        <v>10.0</v>
      </c>
      <c r="D6" s="8" t="s">
        <v>48</v>
      </c>
      <c r="E6" s="8" t="s">
        <v>50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8" t="s">
        <v>56</v>
      </c>
      <c r="B7" s="8" t="s">
        <v>57</v>
      </c>
      <c r="C7" s="8">
        <v>32.0</v>
      </c>
      <c r="D7" s="8" t="s">
        <v>60</v>
      </c>
      <c r="E7" s="8" t="s">
        <v>63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68</v>
      </c>
      <c r="B8" s="8" t="s">
        <v>71</v>
      </c>
      <c r="C8" s="8">
        <v>109.0</v>
      </c>
      <c r="D8" s="8" t="s">
        <v>73</v>
      </c>
      <c r="E8" s="8" t="s">
        <v>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/>
      <c r="B9" s="4"/>
      <c r="C9" s="4"/>
      <c r="D9" s="4"/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1" t="s">
        <v>86</v>
      </c>
      <c r="B10" s="4"/>
      <c r="C10" s="4"/>
      <c r="D10" s="4"/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93</v>
      </c>
      <c r="B11" s="6" t="s">
        <v>95</v>
      </c>
      <c r="C11" s="4"/>
      <c r="D11" s="4"/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2" t="s">
        <v>100</v>
      </c>
      <c r="B12" s="13">
        <f>COUNTIF('CPA 2024.1 (planilha antiga)'!N3:N111,A12)</f>
        <v>17</v>
      </c>
      <c r="C12" s="4"/>
      <c r="D12" s="4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4" t="s">
        <v>132</v>
      </c>
      <c r="B13" s="13">
        <f>COUNTIF('CPA 2024.1 (planilha antiga)'!N3:N111,A13)</f>
        <v>55</v>
      </c>
      <c r="C13" s="4"/>
      <c r="D13" s="4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5" t="s">
        <v>144</v>
      </c>
      <c r="B14" s="13">
        <f>COUNTIF('CPA 2024.1 (planilha antiga)'!N3:N111,A14)</f>
        <v>37</v>
      </c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 t="s">
        <v>149</v>
      </c>
      <c r="B15" s="16">
        <f>SUM(B12:B14)</f>
        <v>109</v>
      </c>
      <c r="C15" s="4"/>
      <c r="D15" s="4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4"/>
      <c r="C16" s="4"/>
      <c r="D16" s="4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1" t="s">
        <v>156</v>
      </c>
      <c r="B17" s="4"/>
      <c r="C17" s="4"/>
      <c r="D17" s="4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 t="s">
        <v>20</v>
      </c>
      <c r="B18" s="6" t="s">
        <v>158</v>
      </c>
      <c r="C18" s="6" t="s">
        <v>159</v>
      </c>
      <c r="D18" s="4"/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7" t="s">
        <v>162</v>
      </c>
      <c r="B19" s="13">
        <f>COUNTIFS('CPA 2024.1 (planilha antiga)'!L3:L111,A19,'CPA 2024.1 (planilha antiga)'!N3:N111,"NOVA")</f>
        <v>2</v>
      </c>
      <c r="C19" s="13">
        <f>COUNTIF('CPA 2024.1 (planilha antiga)'!L3:L111,A19)</f>
        <v>3</v>
      </c>
      <c r="D19" s="4"/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7" t="s">
        <v>41</v>
      </c>
      <c r="B20" s="13">
        <f>COUNTIFS('CPA 2024.1 (planilha antiga)'!L3:L111,A20,'CPA 2024.1 (planilha antiga)'!N3:N111,"NOVA")</f>
        <v>7</v>
      </c>
      <c r="C20" s="13">
        <f>COUNTIF('CPA 2024.1 (planilha antiga)'!L3:L111,A20)</f>
        <v>30</v>
      </c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7" t="s">
        <v>176</v>
      </c>
      <c r="B21" s="13">
        <f>COUNTIFS('CPA 2024.1 (planilha antiga)'!L3:L111,A21,'CPA 2024.1 (planilha antiga)'!N3:N111,"NOVA")</f>
        <v>0</v>
      </c>
      <c r="C21" s="13">
        <f>COUNTIF('CPA 2024.1 (planilha antiga)'!L3:L111,A21)</f>
        <v>1</v>
      </c>
      <c r="D21" s="4"/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7" t="s">
        <v>179</v>
      </c>
      <c r="B22" s="13">
        <f>COUNTIFS('CPA 2024.1 (planilha antiga)'!L3:L111,A22,'CPA 2024.1 (planilha antiga)'!N3:N111,"NOVA")</f>
        <v>0</v>
      </c>
      <c r="C22" s="13">
        <f>COUNTIF('CPA 2024.1 (planilha antiga)'!L3:L111,A22)</f>
        <v>1</v>
      </c>
      <c r="D22" s="4"/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7" t="s">
        <v>180</v>
      </c>
      <c r="B23" s="13">
        <f>COUNTIFS('CPA 2024.1 (planilha antiga)'!L3:L111,A23,'CPA 2024.1 (planilha antiga)'!N3:N111,"NOVA")</f>
        <v>1</v>
      </c>
      <c r="C23" s="13">
        <f>COUNTIF('CPA 2024.1 (planilha antiga)'!L3:L111,A23)</f>
        <v>5</v>
      </c>
      <c r="D23" s="4"/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7" t="s">
        <v>181</v>
      </c>
      <c r="B24" s="13">
        <f>COUNTIFS('CPA 2024.1 (planilha antiga)'!L3:L111,A24,'CPA 2024.1 (planilha antiga)'!N3:N111,"NOVA")</f>
        <v>2</v>
      </c>
      <c r="C24" s="13">
        <f>COUNTIF('CPA 2024.1 (planilha antiga)'!L3:L111,A24)</f>
        <v>6</v>
      </c>
      <c r="D24" s="4"/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7" t="s">
        <v>153</v>
      </c>
      <c r="B25" s="13">
        <f>COUNTIFS('CPA 2024.1 (planilha antiga)'!L3:L111,A25,'CPA 2024.1 (planilha antiga)'!N3:N111,"NOVA")</f>
        <v>4</v>
      </c>
      <c r="C25" s="13">
        <f>COUNTIF('CPA 2024.1 (planilha antiga)'!L3:L111,A25)</f>
        <v>19</v>
      </c>
      <c r="D25" s="4"/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7" t="s">
        <v>182</v>
      </c>
      <c r="B26" s="13">
        <f>COUNTIFS('CPA 2024.1 (planilha antiga)'!L3:L111,A26,'CPA 2024.1 (planilha antiga)'!N3:N111,"NOVA")</f>
        <v>1</v>
      </c>
      <c r="C26" s="13">
        <f>COUNTIF('CPA 2024.1 (planilha antiga)'!L3:L111,A26)</f>
        <v>8</v>
      </c>
      <c r="D26" s="4"/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7" t="s">
        <v>163</v>
      </c>
      <c r="B27" s="13">
        <f>COUNTIFS('CPA 2024.1 (planilha antiga)'!L3:L111,A27,'CPA 2024.1 (planilha antiga)'!N3:N111,"NOVA")</f>
        <v>2</v>
      </c>
      <c r="C27" s="13">
        <f>COUNTIF('CPA 2024.1 (planilha antiga)'!L3:L111,A27)</f>
        <v>10</v>
      </c>
      <c r="D27" s="4"/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7" t="s">
        <v>183</v>
      </c>
      <c r="B28" s="13">
        <f>COUNTIFS('CPA 2024.1 (planilha antiga)'!L3:L111,A28,'CPA 2024.1 (planilha antiga)'!N3:N111,"NOVA")</f>
        <v>0</v>
      </c>
      <c r="C28" s="13">
        <f>COUNTIF('CPA 2024.1 (planilha antiga)'!L3:L111,A28)</f>
        <v>0</v>
      </c>
      <c r="D28" s="4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7" t="s">
        <v>192</v>
      </c>
      <c r="B29" s="13">
        <f>COUNTIFS('CPA 2024.1 (planilha antiga)'!L3:L111,A29,'CPA 2024.1 (planilha antiga)'!N3:N111,"NOVA")</f>
        <v>18</v>
      </c>
      <c r="C29" s="13">
        <f>COUNTIF('CPA 2024.1 (planilha antiga)'!L3:L111,A29)</f>
        <v>23</v>
      </c>
      <c r="D29" s="4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7" t="s">
        <v>194</v>
      </c>
      <c r="B30" s="13">
        <f>COUNTIFS('CPA 2024.1 (planilha antiga)'!L3:L111,A30,'CPA 2024.1 (planilha antiga)'!N3:N111,"NOVA")</f>
        <v>0</v>
      </c>
      <c r="C30" s="13">
        <f>COUNTIF('CPA 2024.1 (planilha antiga)'!L3:L111,A30)</f>
        <v>3</v>
      </c>
      <c r="D30" s="4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9" t="s">
        <v>195</v>
      </c>
      <c r="B31" s="4"/>
      <c r="C31" s="4"/>
      <c r="D31" s="4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4"/>
      <c r="C32" s="4"/>
      <c r="D32" s="4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4"/>
      <c r="C33" s="4"/>
      <c r="D33" s="4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/>
      <c r="B34" s="4"/>
      <c r="C34" s="4"/>
      <c r="D34" s="4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4"/>
      <c r="C35" s="4"/>
      <c r="D35" s="4"/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4"/>
      <c r="C36" s="4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/>
      <c r="B37" s="4"/>
      <c r="C37" s="4"/>
      <c r="D37" s="4"/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4"/>
      <c r="C38" s="4"/>
      <c r="D38" s="4"/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4"/>
      <c r="C39" s="4"/>
      <c r="D39" s="4"/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/>
      <c r="B40" s="4"/>
      <c r="C40" s="4"/>
      <c r="D40" s="4"/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4"/>
      <c r="C41" s="4"/>
      <c r="D41" s="4"/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4"/>
      <c r="C42" s="4"/>
      <c r="D42" s="4"/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4"/>
      <c r="C43" s="4"/>
      <c r="D43" s="4"/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/>
      <c r="B44" s="4"/>
      <c r="C44" s="4"/>
      <c r="D44" s="4"/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4"/>
      <c r="C45" s="4"/>
      <c r="D45" s="4"/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4"/>
      <c r="C46" s="4"/>
      <c r="D46" s="4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4"/>
      <c r="C47" s="4"/>
      <c r="D47" s="4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4"/>
      <c r="C48" s="4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4"/>
      <c r="C49" s="4"/>
      <c r="D49" s="4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4"/>
      <c r="C50" s="4"/>
      <c r="D50" s="4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4"/>
      <c r="C51" s="4"/>
      <c r="D51" s="4"/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4"/>
      <c r="C52" s="4"/>
      <c r="D52" s="4"/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4"/>
      <c r="C53" s="4"/>
      <c r="D53" s="4"/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4"/>
      <c r="C54" s="4"/>
      <c r="D54" s="4"/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4"/>
      <c r="C55" s="4"/>
      <c r="D55" s="4"/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4"/>
      <c r="C56" s="4"/>
      <c r="D56" s="4"/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4"/>
      <c r="C57" s="4"/>
      <c r="D57" s="4"/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4"/>
      <c r="C58" s="4"/>
      <c r="D58" s="4"/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4"/>
      <c r="C59" s="4"/>
      <c r="D59" s="4"/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4"/>
      <c r="C60" s="4"/>
      <c r="D60" s="4"/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4"/>
      <c r="C61" s="4"/>
      <c r="D61" s="4"/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4"/>
      <c r="C62" s="4"/>
      <c r="D62" s="4"/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4"/>
      <c r="C63" s="4"/>
      <c r="D63" s="4"/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4"/>
      <c r="C64" s="4"/>
      <c r="D64" s="4"/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4"/>
      <c r="C65" s="4"/>
      <c r="D65" s="4"/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4"/>
      <c r="C66" s="4"/>
      <c r="D66" s="4"/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4"/>
      <c r="C67" s="4"/>
      <c r="D67" s="4"/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4"/>
      <c r="C68" s="4"/>
      <c r="D68" s="4"/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4"/>
      <c r="C69" s="4"/>
      <c r="D69" s="4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4"/>
      <c r="C70" s="4"/>
      <c r="D70" s="4"/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4"/>
      <c r="C71" s="4"/>
      <c r="D71" s="4"/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4"/>
      <c r="C72" s="4"/>
      <c r="D72" s="4"/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4"/>
      <c r="C73" s="4"/>
      <c r="D73" s="4"/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4"/>
      <c r="C74" s="4"/>
      <c r="D74" s="4"/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4"/>
      <c r="C75" s="4"/>
      <c r="D75" s="4"/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4"/>
      <c r="C76" s="4"/>
      <c r="D76" s="4"/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4"/>
      <c r="C77" s="4"/>
      <c r="D77" s="4"/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4"/>
      <c r="C78" s="4"/>
      <c r="D78" s="4"/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4"/>
      <c r="C79" s="4"/>
      <c r="D79" s="4"/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4"/>
      <c r="C80" s="4"/>
      <c r="D80" s="4"/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4"/>
      <c r="C81" s="4"/>
      <c r="D81" s="4"/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4"/>
      <c r="C82" s="4"/>
      <c r="D82" s="4"/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4"/>
      <c r="C83" s="4"/>
      <c r="D83" s="4"/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4"/>
      <c r="C84" s="4"/>
      <c r="D84" s="4"/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4"/>
      <c r="C85" s="4"/>
      <c r="D85" s="4"/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4"/>
      <c r="C86" s="4"/>
      <c r="D86" s="4"/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4"/>
      <c r="C87" s="4"/>
      <c r="D87" s="4"/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4"/>
      <c r="C88" s="4"/>
      <c r="D88" s="4"/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4"/>
      <c r="C89" s="4"/>
      <c r="D89" s="4"/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4"/>
      <c r="C90" s="4"/>
      <c r="D90" s="4"/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4"/>
      <c r="C91" s="4"/>
      <c r="D91" s="4"/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4"/>
      <c r="C92" s="4"/>
      <c r="D92" s="4"/>
      <c r="E92" s="4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4"/>
      <c r="C93" s="4"/>
      <c r="D93" s="4"/>
      <c r="E93" s="4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4"/>
      <c r="C94" s="4"/>
      <c r="D94" s="4"/>
      <c r="E94" s="4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4"/>
      <c r="C95" s="4"/>
      <c r="D95" s="4"/>
      <c r="E95" s="4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4"/>
      <c r="C96" s="4"/>
      <c r="D96" s="4"/>
      <c r="E96" s="4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4"/>
      <c r="C97" s="4"/>
      <c r="D97" s="4"/>
      <c r="E97" s="4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4"/>
      <c r="C98" s="4"/>
      <c r="D98" s="4"/>
      <c r="E98" s="4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4"/>
      <c r="C99" s="4"/>
      <c r="D99" s="4"/>
      <c r="E99" s="4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4"/>
      <c r="C100" s="4"/>
      <c r="D100" s="4"/>
      <c r="E100" s="4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/>
      <c r="B101" s="4"/>
      <c r="C101" s="4"/>
      <c r="D101" s="4"/>
      <c r="E101" s="4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/>
      <c r="B102" s="4"/>
      <c r="C102" s="4"/>
      <c r="D102" s="4"/>
      <c r="E102" s="4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/>
      <c r="B103" s="4"/>
      <c r="C103" s="4"/>
      <c r="D103" s="4"/>
      <c r="E103" s="4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/>
      <c r="B104" s="4"/>
      <c r="C104" s="4"/>
      <c r="D104" s="4"/>
      <c r="E104" s="4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/>
      <c r="B105" s="4"/>
      <c r="C105" s="4"/>
      <c r="D105" s="4"/>
      <c r="E105" s="4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/>
      <c r="B106" s="4"/>
      <c r="C106" s="4"/>
      <c r="D106" s="4"/>
      <c r="E106" s="4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/>
      <c r="B107" s="4"/>
      <c r="C107" s="4"/>
      <c r="D107" s="4"/>
      <c r="E107" s="4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/>
      <c r="B108" s="4"/>
      <c r="C108" s="4"/>
      <c r="D108" s="4"/>
      <c r="E108" s="4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/>
      <c r="B109" s="4"/>
      <c r="C109" s="4"/>
      <c r="D109" s="4"/>
      <c r="E109" s="4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/>
      <c r="B110" s="4"/>
      <c r="C110" s="4"/>
      <c r="D110" s="4"/>
      <c r="E110" s="4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/>
      <c r="B111" s="4"/>
      <c r="C111" s="4"/>
      <c r="D111" s="4"/>
      <c r="E111" s="4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/>
      <c r="B112" s="4"/>
      <c r="C112" s="4"/>
      <c r="D112" s="4"/>
      <c r="E112" s="4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/>
      <c r="B113" s="4"/>
      <c r="C113" s="4"/>
      <c r="D113" s="4"/>
      <c r="E113" s="4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/>
      <c r="B114" s="4"/>
      <c r="C114" s="4"/>
      <c r="D114" s="4"/>
      <c r="E114" s="4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/>
      <c r="B115" s="4"/>
      <c r="C115" s="4"/>
      <c r="D115" s="4"/>
      <c r="E115" s="4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/>
      <c r="B116" s="4"/>
      <c r="C116" s="4"/>
      <c r="D116" s="4"/>
      <c r="E116" s="4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/>
      <c r="B117" s="4"/>
      <c r="C117" s="4"/>
      <c r="D117" s="4"/>
      <c r="E117" s="4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/>
      <c r="B118" s="4"/>
      <c r="C118" s="4"/>
      <c r="D118" s="4"/>
      <c r="E118" s="4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/>
      <c r="B119" s="4"/>
      <c r="C119" s="4"/>
      <c r="D119" s="4"/>
      <c r="E119" s="4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/>
      <c r="B120" s="4"/>
      <c r="C120" s="4"/>
      <c r="D120" s="4"/>
      <c r="E120" s="4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/>
      <c r="B121" s="4"/>
      <c r="C121" s="4"/>
      <c r="D121" s="4"/>
      <c r="E121" s="4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/>
      <c r="B122" s="4"/>
      <c r="C122" s="4"/>
      <c r="D122" s="4"/>
      <c r="E122" s="4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/>
      <c r="B123" s="4"/>
      <c r="C123" s="4"/>
      <c r="D123" s="4"/>
      <c r="E123" s="4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/>
      <c r="B124" s="4"/>
      <c r="C124" s="4"/>
      <c r="D124" s="4"/>
      <c r="E124" s="4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/>
      <c r="B125" s="4"/>
      <c r="C125" s="4"/>
      <c r="D125" s="4"/>
      <c r="E125" s="4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/>
      <c r="B126" s="4"/>
      <c r="C126" s="4"/>
      <c r="D126" s="4"/>
      <c r="E126" s="4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/>
      <c r="B127" s="4"/>
      <c r="C127" s="4"/>
      <c r="D127" s="4"/>
      <c r="E127" s="4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/>
      <c r="B128" s="4"/>
      <c r="C128" s="4"/>
      <c r="D128" s="4"/>
      <c r="E128" s="4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/>
      <c r="B129" s="4"/>
      <c r="C129" s="4"/>
      <c r="D129" s="4"/>
      <c r="E129" s="4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/>
      <c r="B130" s="4"/>
      <c r="C130" s="4"/>
      <c r="D130" s="4"/>
      <c r="E130" s="4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/>
      <c r="B131" s="4"/>
      <c r="C131" s="4"/>
      <c r="D131" s="4"/>
      <c r="E131" s="4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/>
      <c r="B132" s="4"/>
      <c r="C132" s="4"/>
      <c r="D132" s="4"/>
      <c r="E132" s="4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/>
      <c r="B133" s="4"/>
      <c r="C133" s="4"/>
      <c r="D133" s="4"/>
      <c r="E133" s="4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/>
      <c r="B134" s="4"/>
      <c r="C134" s="4"/>
      <c r="D134" s="4"/>
      <c r="E134" s="4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/>
      <c r="B135" s="4"/>
      <c r="C135" s="4"/>
      <c r="D135" s="4"/>
      <c r="E135" s="4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4"/>
      <c r="C136" s="4"/>
      <c r="D136" s="4"/>
      <c r="E136" s="4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4"/>
      <c r="C137" s="4"/>
      <c r="D137" s="4"/>
      <c r="E137" s="4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4"/>
      <c r="C138" s="4"/>
      <c r="D138" s="4"/>
      <c r="E138" s="4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4"/>
      <c r="C139" s="4"/>
      <c r="D139" s="4"/>
      <c r="E139" s="4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4"/>
      <c r="C140" s="4"/>
      <c r="D140" s="4"/>
      <c r="E140" s="4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4"/>
      <c r="C141" s="4"/>
      <c r="D141" s="4"/>
      <c r="E141" s="4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4"/>
      <c r="C142" s="4"/>
      <c r="D142" s="4"/>
      <c r="E142" s="4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4"/>
      <c r="C143" s="4"/>
      <c r="D143" s="4"/>
      <c r="E143" s="4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4"/>
      <c r="C144" s="4"/>
      <c r="D144" s="4"/>
      <c r="E144" s="4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4"/>
      <c r="C145" s="4"/>
      <c r="D145" s="4"/>
      <c r="E145" s="4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4"/>
      <c r="C146" s="4"/>
      <c r="D146" s="4"/>
      <c r="E146" s="4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4"/>
      <c r="C147" s="4"/>
      <c r="D147" s="4"/>
      <c r="E147" s="4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4"/>
      <c r="C148" s="4"/>
      <c r="D148" s="4"/>
      <c r="E148" s="4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4"/>
      <c r="C149" s="4"/>
      <c r="D149" s="4"/>
      <c r="E149" s="4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4"/>
      <c r="C150" s="4"/>
      <c r="D150" s="4"/>
      <c r="E150" s="4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4"/>
      <c r="C151" s="4"/>
      <c r="D151" s="4"/>
      <c r="E151" s="4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4"/>
      <c r="C152" s="4"/>
      <c r="D152" s="4"/>
      <c r="E152" s="4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4"/>
      <c r="C153" s="4"/>
      <c r="D153" s="4"/>
      <c r="E153" s="4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4"/>
      <c r="C154" s="4"/>
      <c r="D154" s="4"/>
      <c r="E154" s="4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4"/>
      <c r="C155" s="4"/>
      <c r="D155" s="4"/>
      <c r="E155" s="4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4"/>
      <c r="C156" s="4"/>
      <c r="D156" s="4"/>
      <c r="E156" s="4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4"/>
      <c r="C157" s="4"/>
      <c r="D157" s="4"/>
      <c r="E157" s="4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4"/>
      <c r="C158" s="4"/>
      <c r="D158" s="4"/>
      <c r="E158" s="4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4"/>
      <c r="C159" s="4"/>
      <c r="D159" s="4"/>
      <c r="E159" s="4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4"/>
      <c r="C160" s="4"/>
      <c r="D160" s="4"/>
      <c r="E160" s="4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4"/>
      <c r="C161" s="4"/>
      <c r="D161" s="4"/>
      <c r="E161" s="4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4"/>
      <c r="C162" s="4"/>
      <c r="D162" s="4"/>
      <c r="E162" s="4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4"/>
      <c r="C163" s="4"/>
      <c r="D163" s="4"/>
      <c r="E163" s="4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4"/>
      <c r="C164" s="4"/>
      <c r="D164" s="4"/>
      <c r="E164" s="4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4"/>
      <c r="C165" s="4"/>
      <c r="D165" s="4"/>
      <c r="E165" s="4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4"/>
      <c r="C166" s="4"/>
      <c r="D166" s="4"/>
      <c r="E166" s="4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4"/>
      <c r="C167" s="4"/>
      <c r="D167" s="4"/>
      <c r="E167" s="4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4"/>
      <c r="C168" s="4"/>
      <c r="D168" s="4"/>
      <c r="E168" s="4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4"/>
      <c r="C169" s="4"/>
      <c r="D169" s="4"/>
      <c r="E169" s="4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4"/>
      <c r="C170" s="4"/>
      <c r="D170" s="4"/>
      <c r="E170" s="4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4"/>
      <c r="C171" s="4"/>
      <c r="D171" s="4"/>
      <c r="E171" s="4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4"/>
      <c r="C172" s="4"/>
      <c r="D172" s="4"/>
      <c r="E172" s="4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4"/>
      <c r="C173" s="4"/>
      <c r="D173" s="4"/>
      <c r="E173" s="4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4"/>
      <c r="C174" s="4"/>
      <c r="D174" s="4"/>
      <c r="E174" s="4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4"/>
      <c r="C175" s="4"/>
      <c r="D175" s="4"/>
      <c r="E175" s="4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4"/>
      <c r="C176" s="4"/>
      <c r="D176" s="4"/>
      <c r="E176" s="4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4"/>
      <c r="C177" s="4"/>
      <c r="D177" s="4"/>
      <c r="E177" s="4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4"/>
      <c r="C178" s="4"/>
      <c r="D178" s="4"/>
      <c r="E178" s="4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4"/>
      <c r="C179" s="4"/>
      <c r="D179" s="4"/>
      <c r="E179" s="4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4"/>
      <c r="C180" s="4"/>
      <c r="D180" s="4"/>
      <c r="E180" s="4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4"/>
      <c r="C181" s="4"/>
      <c r="D181" s="4"/>
      <c r="E181" s="4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4"/>
      <c r="C182" s="4"/>
      <c r="D182" s="4"/>
      <c r="E182" s="4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4"/>
      <c r="C183" s="4"/>
      <c r="D183" s="4"/>
      <c r="E183" s="4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4"/>
      <c r="C184" s="4"/>
      <c r="D184" s="4"/>
      <c r="E184" s="4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4"/>
      <c r="C185" s="4"/>
      <c r="D185" s="4"/>
      <c r="E185" s="4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4"/>
      <c r="C186" s="4"/>
      <c r="D186" s="4"/>
      <c r="E186" s="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4"/>
      <c r="C187" s="4"/>
      <c r="D187" s="4"/>
      <c r="E187" s="4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4"/>
      <c r="C188" s="4"/>
      <c r="D188" s="4"/>
      <c r="E188" s="4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4"/>
      <c r="C189" s="4"/>
      <c r="D189" s="4"/>
      <c r="E189" s="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4"/>
      <c r="C190" s="4"/>
      <c r="D190" s="4"/>
      <c r="E190" s="4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4"/>
      <c r="C191" s="4"/>
      <c r="D191" s="4"/>
      <c r="E191" s="4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4"/>
      <c r="C192" s="4"/>
      <c r="D192" s="4"/>
      <c r="E192" s="4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4"/>
      <c r="C193" s="4"/>
      <c r="D193" s="4"/>
      <c r="E193" s="4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4"/>
      <c r="C194" s="4"/>
      <c r="D194" s="4"/>
      <c r="E194" s="4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4"/>
      <c r="C195" s="4"/>
      <c r="D195" s="4"/>
      <c r="E195" s="4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4"/>
      <c r="C196" s="4"/>
      <c r="D196" s="4"/>
      <c r="E196" s="4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4"/>
      <c r="C197" s="4"/>
      <c r="D197" s="4"/>
      <c r="E197" s="4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4"/>
      <c r="C198" s="4"/>
      <c r="D198" s="4"/>
      <c r="E198" s="4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4"/>
      <c r="C199" s="4"/>
      <c r="D199" s="4"/>
      <c r="E199" s="4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4"/>
      <c r="C200" s="4"/>
      <c r="D200" s="4"/>
      <c r="E200" s="4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4"/>
      <c r="C201" s="4"/>
      <c r="D201" s="4"/>
      <c r="E201" s="4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4"/>
      <c r="C202" s="4"/>
      <c r="D202" s="4"/>
      <c r="E202" s="4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4"/>
      <c r="C203" s="4"/>
      <c r="D203" s="4"/>
      <c r="E203" s="4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4"/>
      <c r="C204" s="4"/>
      <c r="D204" s="4"/>
      <c r="E204" s="4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4"/>
      <c r="C205" s="4"/>
      <c r="D205" s="4"/>
      <c r="E205" s="4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4"/>
      <c r="C206" s="4"/>
      <c r="D206" s="4"/>
      <c r="E206" s="4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4"/>
      <c r="C207" s="4"/>
      <c r="D207" s="4"/>
      <c r="E207" s="4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4"/>
      <c r="C208" s="4"/>
      <c r="D208" s="4"/>
      <c r="E208" s="4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4"/>
      <c r="C209" s="4"/>
      <c r="D209" s="4"/>
      <c r="E209" s="4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4"/>
      <c r="C210" s="4"/>
      <c r="D210" s="4"/>
      <c r="E210" s="4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4"/>
      <c r="C211" s="4"/>
      <c r="D211" s="4"/>
      <c r="E211" s="4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4"/>
      <c r="C212" s="4"/>
      <c r="D212" s="4"/>
      <c r="E212" s="4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4"/>
      <c r="C213" s="4"/>
      <c r="D213" s="4"/>
      <c r="E213" s="4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4"/>
      <c r="C214" s="4"/>
      <c r="D214" s="4"/>
      <c r="E214" s="4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4"/>
      <c r="C215" s="4"/>
      <c r="D215" s="4"/>
      <c r="E215" s="4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4"/>
      <c r="C216" s="4"/>
      <c r="D216" s="4"/>
      <c r="E216" s="4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4"/>
      <c r="C217" s="4"/>
      <c r="D217" s="4"/>
      <c r="E217" s="4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4"/>
      <c r="C218" s="4"/>
      <c r="D218" s="4"/>
      <c r="E218" s="4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4"/>
      <c r="C219" s="4"/>
      <c r="D219" s="4"/>
      <c r="E219" s="4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4"/>
      <c r="C220" s="4"/>
      <c r="D220" s="4"/>
      <c r="E220" s="4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/>
      <c r="B221" s="4"/>
      <c r="C221" s="4"/>
      <c r="D221" s="4"/>
      <c r="E221" s="4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/>
      <c r="B222" s="4"/>
      <c r="C222" s="4"/>
      <c r="D222" s="4"/>
      <c r="E222" s="4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/>
      <c r="B223" s="4"/>
      <c r="C223" s="4"/>
      <c r="D223" s="4"/>
      <c r="E223" s="4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/>
      <c r="B224" s="4"/>
      <c r="C224" s="4"/>
      <c r="D224" s="4"/>
      <c r="E224" s="4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/>
      <c r="B225" s="4"/>
      <c r="C225" s="4"/>
      <c r="D225" s="4"/>
      <c r="E225" s="4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/>
      <c r="B226" s="4"/>
      <c r="C226" s="4"/>
      <c r="D226" s="4"/>
      <c r="E226" s="4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/>
      <c r="B227" s="4"/>
      <c r="C227" s="4"/>
      <c r="D227" s="4"/>
      <c r="E227" s="4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/>
      <c r="B228" s="4"/>
      <c r="C228" s="4"/>
      <c r="D228" s="4"/>
      <c r="E228" s="4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/>
      <c r="B229" s="4"/>
      <c r="C229" s="4"/>
      <c r="D229" s="4"/>
      <c r="E229" s="4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/>
      <c r="B230" s="4"/>
      <c r="C230" s="4"/>
      <c r="D230" s="4"/>
      <c r="E230" s="4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/>
      <c r="B231" s="4"/>
      <c r="C231" s="4"/>
      <c r="D231" s="4"/>
      <c r="E231" s="4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44.0"/>
    <col customWidth="1" min="3" max="4" width="14.0"/>
    <col customWidth="1" min="5" max="5" width="26.0"/>
    <col customWidth="1" min="6" max="6" width="20.0"/>
    <col customWidth="1" min="7" max="7" width="18.0"/>
    <col customWidth="1" min="8" max="8" width="14.0"/>
    <col customWidth="1" min="9" max="9" width="24.0"/>
    <col customWidth="1" min="10" max="10" width="30.0"/>
    <col customWidth="1" min="11" max="11" width="22.0"/>
    <col customWidth="1" min="12" max="12" width="34.0"/>
  </cols>
  <sheetData>
    <row r="1">
      <c r="A1" s="2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12</v>
      </c>
      <c r="J2" s="5" t="s">
        <v>13</v>
      </c>
      <c r="K2" s="7" t="s">
        <v>15</v>
      </c>
      <c r="L2" s="5" t="s">
        <v>20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>
        <v>1.0</v>
      </c>
      <c r="B3" s="8" t="s">
        <v>22</v>
      </c>
      <c r="C3" s="9" t="s">
        <v>24</v>
      </c>
      <c r="D3" s="8" t="s">
        <v>24</v>
      </c>
      <c r="E3" s="9" t="s">
        <v>29</v>
      </c>
      <c r="F3" s="8" t="s">
        <v>31</v>
      </c>
      <c r="G3" s="8"/>
      <c r="H3" s="8"/>
      <c r="I3" s="9" t="s">
        <v>33</v>
      </c>
      <c r="J3" s="8" t="s">
        <v>34</v>
      </c>
      <c r="K3" s="10" t="s">
        <v>36</v>
      </c>
      <c r="L3" s="9" t="s">
        <v>41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>
        <v>2.0</v>
      </c>
      <c r="B4" s="8" t="s">
        <v>43</v>
      </c>
      <c r="C4" s="9" t="s">
        <v>24</v>
      </c>
      <c r="D4" s="8" t="s">
        <v>24</v>
      </c>
      <c r="E4" s="9" t="s">
        <v>29</v>
      </c>
      <c r="F4" s="8" t="s">
        <v>31</v>
      </c>
      <c r="G4" s="8"/>
      <c r="H4" s="8"/>
      <c r="I4" s="9" t="s">
        <v>33</v>
      </c>
      <c r="J4" s="8" t="s">
        <v>34</v>
      </c>
      <c r="K4" s="10" t="s">
        <v>36</v>
      </c>
      <c r="L4" s="9" t="s">
        <v>41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>
        <v>3.0</v>
      </c>
      <c r="B5" s="8" t="s">
        <v>54</v>
      </c>
      <c r="C5" s="9" t="s">
        <v>24</v>
      </c>
      <c r="D5" s="8" t="s">
        <v>24</v>
      </c>
      <c r="E5" s="9" t="s">
        <v>29</v>
      </c>
      <c r="F5" s="8" t="s">
        <v>31</v>
      </c>
      <c r="G5" s="8"/>
      <c r="H5" s="8"/>
      <c r="I5" s="9" t="s">
        <v>33</v>
      </c>
      <c r="J5" s="8" t="s">
        <v>34</v>
      </c>
      <c r="K5" s="10" t="s">
        <v>36</v>
      </c>
      <c r="L5" s="9" t="s">
        <v>41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>
        <v>4.0</v>
      </c>
      <c r="B6" s="8" t="s">
        <v>80</v>
      </c>
      <c r="C6" s="9" t="s">
        <v>24</v>
      </c>
      <c r="D6" s="8" t="s">
        <v>24</v>
      </c>
      <c r="E6" s="9" t="s">
        <v>29</v>
      </c>
      <c r="F6" s="8" t="s">
        <v>31</v>
      </c>
      <c r="G6" s="8"/>
      <c r="H6" s="8"/>
      <c r="I6" s="9" t="s">
        <v>33</v>
      </c>
      <c r="J6" s="8" t="s">
        <v>34</v>
      </c>
      <c r="K6" s="10" t="s">
        <v>36</v>
      </c>
      <c r="L6" s="9" t="s">
        <v>41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>
        <v>5.0</v>
      </c>
      <c r="B7" s="8" t="s">
        <v>22</v>
      </c>
      <c r="C7" s="9" t="s">
        <v>24</v>
      </c>
      <c r="D7" s="8" t="s">
        <v>24</v>
      </c>
      <c r="E7" s="9" t="s">
        <v>29</v>
      </c>
      <c r="F7" s="8" t="s">
        <v>31</v>
      </c>
      <c r="G7" s="8"/>
      <c r="H7" s="8"/>
      <c r="I7" s="9" t="s">
        <v>33</v>
      </c>
      <c r="J7" s="8" t="s">
        <v>34</v>
      </c>
      <c r="K7" s="10" t="s">
        <v>92</v>
      </c>
      <c r="L7" s="9" t="s">
        <v>41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>
        <v>6.0</v>
      </c>
      <c r="B8" s="8" t="s">
        <v>43</v>
      </c>
      <c r="C8" s="9" t="s">
        <v>24</v>
      </c>
      <c r="D8" s="8" t="s">
        <v>24</v>
      </c>
      <c r="E8" s="9" t="s">
        <v>29</v>
      </c>
      <c r="F8" s="8" t="s">
        <v>31</v>
      </c>
      <c r="G8" s="8"/>
      <c r="H8" s="8"/>
      <c r="I8" s="9" t="s">
        <v>33</v>
      </c>
      <c r="J8" s="8" t="s">
        <v>34</v>
      </c>
      <c r="K8" s="10" t="s">
        <v>92</v>
      </c>
      <c r="L8" s="9" t="s">
        <v>41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>
        <v>7.0</v>
      </c>
      <c r="B9" s="8" t="s">
        <v>54</v>
      </c>
      <c r="C9" s="9" t="s">
        <v>24</v>
      </c>
      <c r="D9" s="8" t="s">
        <v>24</v>
      </c>
      <c r="E9" s="9" t="s">
        <v>29</v>
      </c>
      <c r="F9" s="8" t="s">
        <v>31</v>
      </c>
      <c r="G9" s="8"/>
      <c r="H9" s="8"/>
      <c r="I9" s="9" t="s">
        <v>33</v>
      </c>
      <c r="J9" s="8" t="s">
        <v>34</v>
      </c>
      <c r="K9" s="10" t="s">
        <v>92</v>
      </c>
      <c r="L9" s="9" t="s">
        <v>41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8">
        <v>8.0</v>
      </c>
      <c r="B10" s="8" t="s">
        <v>80</v>
      </c>
      <c r="C10" s="9" t="s">
        <v>24</v>
      </c>
      <c r="D10" s="8" t="s">
        <v>24</v>
      </c>
      <c r="E10" s="9" t="s">
        <v>29</v>
      </c>
      <c r="F10" s="8" t="s">
        <v>31</v>
      </c>
      <c r="G10" s="8"/>
      <c r="H10" s="8"/>
      <c r="I10" s="9" t="s">
        <v>33</v>
      </c>
      <c r="J10" s="8" t="s">
        <v>34</v>
      </c>
      <c r="K10" s="10" t="s">
        <v>92</v>
      </c>
      <c r="L10" s="9" t="s">
        <v>41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8">
        <v>9.0</v>
      </c>
      <c r="B11" s="8" t="s">
        <v>22</v>
      </c>
      <c r="C11" s="9" t="s">
        <v>24</v>
      </c>
      <c r="D11" s="8" t="s">
        <v>24</v>
      </c>
      <c r="E11" s="9" t="s">
        <v>29</v>
      </c>
      <c r="F11" s="8" t="s">
        <v>31</v>
      </c>
      <c r="G11" s="8"/>
      <c r="H11" s="8"/>
      <c r="I11" s="9" t="s">
        <v>33</v>
      </c>
      <c r="J11" s="8" t="s">
        <v>34</v>
      </c>
      <c r="K11" s="10" t="s">
        <v>118</v>
      </c>
      <c r="L11" s="9" t="s">
        <v>41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>
        <v>10.0</v>
      </c>
      <c r="B12" s="8" t="s">
        <v>43</v>
      </c>
      <c r="C12" s="9" t="s">
        <v>24</v>
      </c>
      <c r="D12" s="8" t="s">
        <v>24</v>
      </c>
      <c r="E12" s="9" t="s">
        <v>29</v>
      </c>
      <c r="F12" s="8" t="s">
        <v>31</v>
      </c>
      <c r="G12" s="8"/>
      <c r="H12" s="8"/>
      <c r="I12" s="9" t="s">
        <v>33</v>
      </c>
      <c r="J12" s="8" t="s">
        <v>34</v>
      </c>
      <c r="K12" s="10" t="s">
        <v>118</v>
      </c>
      <c r="L12" s="9" t="s">
        <v>41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>
        <v>11.0</v>
      </c>
      <c r="B13" s="8" t="s">
        <v>54</v>
      </c>
      <c r="C13" s="9" t="s">
        <v>24</v>
      </c>
      <c r="D13" s="8" t="s">
        <v>24</v>
      </c>
      <c r="E13" s="9" t="s">
        <v>29</v>
      </c>
      <c r="F13" s="8" t="s">
        <v>31</v>
      </c>
      <c r="G13" s="8"/>
      <c r="H13" s="8"/>
      <c r="I13" s="9" t="s">
        <v>33</v>
      </c>
      <c r="J13" s="8" t="s">
        <v>34</v>
      </c>
      <c r="K13" s="10" t="s">
        <v>118</v>
      </c>
      <c r="L13" s="9" t="s">
        <v>41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>
        <v>12.0</v>
      </c>
      <c r="B14" s="8" t="s">
        <v>80</v>
      </c>
      <c r="C14" s="9" t="s">
        <v>24</v>
      </c>
      <c r="D14" s="8" t="s">
        <v>24</v>
      </c>
      <c r="E14" s="9" t="s">
        <v>29</v>
      </c>
      <c r="F14" s="8" t="s">
        <v>31</v>
      </c>
      <c r="G14" s="8"/>
      <c r="H14" s="8"/>
      <c r="I14" s="9" t="s">
        <v>33</v>
      </c>
      <c r="J14" s="8" t="s">
        <v>34</v>
      </c>
      <c r="K14" s="10" t="s">
        <v>118</v>
      </c>
      <c r="L14" s="9" t="s">
        <v>41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>
        <v>13.0</v>
      </c>
      <c r="B15" s="8" t="s">
        <v>130</v>
      </c>
      <c r="C15" s="9" t="s">
        <v>24</v>
      </c>
      <c r="D15" s="8" t="s">
        <v>24</v>
      </c>
      <c r="E15" s="9" t="s">
        <v>29</v>
      </c>
      <c r="F15" s="8" t="s">
        <v>31</v>
      </c>
      <c r="G15" s="8"/>
      <c r="H15" s="8"/>
      <c r="I15" s="9" t="s">
        <v>33</v>
      </c>
      <c r="J15" s="8" t="s">
        <v>136</v>
      </c>
      <c r="K15" s="10" t="s">
        <v>92</v>
      </c>
      <c r="L15" s="9" t="s">
        <v>41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>
        <v>14.0</v>
      </c>
      <c r="B16" s="8" t="s">
        <v>139</v>
      </c>
      <c r="C16" s="9" t="s">
        <v>24</v>
      </c>
      <c r="D16" s="8" t="s">
        <v>24</v>
      </c>
      <c r="E16" s="9" t="s">
        <v>29</v>
      </c>
      <c r="F16" s="8" t="s">
        <v>31</v>
      </c>
      <c r="G16" s="8"/>
      <c r="H16" s="8"/>
      <c r="I16" s="9" t="s">
        <v>33</v>
      </c>
      <c r="J16" s="8" t="s">
        <v>136</v>
      </c>
      <c r="K16" s="10" t="s">
        <v>92</v>
      </c>
      <c r="L16" s="9" t="s">
        <v>41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>
        <v>15.0</v>
      </c>
      <c r="B17" s="8" t="s">
        <v>142</v>
      </c>
      <c r="C17" s="9" t="s">
        <v>24</v>
      </c>
      <c r="D17" s="8" t="s">
        <v>24</v>
      </c>
      <c r="E17" s="9" t="s">
        <v>29</v>
      </c>
      <c r="F17" s="8" t="s">
        <v>31</v>
      </c>
      <c r="G17" s="8"/>
      <c r="H17" s="8"/>
      <c r="I17" s="9" t="s">
        <v>33</v>
      </c>
      <c r="J17" s="8" t="s">
        <v>136</v>
      </c>
      <c r="K17" s="10" t="s">
        <v>92</v>
      </c>
      <c r="L17" s="9" t="s">
        <v>41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8">
        <v>16.0</v>
      </c>
      <c r="B18" s="8" t="s">
        <v>143</v>
      </c>
      <c r="C18" s="9" t="s">
        <v>24</v>
      </c>
      <c r="D18" s="8" t="s">
        <v>24</v>
      </c>
      <c r="E18" s="9" t="s">
        <v>29</v>
      </c>
      <c r="F18" s="8" t="s">
        <v>31</v>
      </c>
      <c r="G18" s="8"/>
      <c r="H18" s="8"/>
      <c r="I18" s="9" t="s">
        <v>33</v>
      </c>
      <c r="J18" s="8" t="s">
        <v>136</v>
      </c>
      <c r="K18" s="10" t="s">
        <v>92</v>
      </c>
      <c r="L18" s="9" t="s">
        <v>41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8">
        <v>17.0</v>
      </c>
      <c r="B19" s="8" t="s">
        <v>145</v>
      </c>
      <c r="C19" s="9" t="s">
        <v>24</v>
      </c>
      <c r="D19" s="8" t="s">
        <v>24</v>
      </c>
      <c r="E19" s="9" t="s">
        <v>29</v>
      </c>
      <c r="F19" s="8" t="s">
        <v>31</v>
      </c>
      <c r="G19" s="8"/>
      <c r="H19" s="8"/>
      <c r="I19" s="9" t="s">
        <v>33</v>
      </c>
      <c r="J19" s="8" t="s">
        <v>136</v>
      </c>
      <c r="K19" s="10" t="s">
        <v>92</v>
      </c>
      <c r="L19" s="9" t="s">
        <v>41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8">
        <v>18.0</v>
      </c>
      <c r="B20" s="8" t="s">
        <v>146</v>
      </c>
      <c r="C20" s="9" t="s">
        <v>24</v>
      </c>
      <c r="D20" s="8" t="s">
        <v>24</v>
      </c>
      <c r="E20" s="9" t="s">
        <v>29</v>
      </c>
      <c r="F20" s="8" t="s">
        <v>31</v>
      </c>
      <c r="G20" s="8"/>
      <c r="H20" s="8"/>
      <c r="I20" s="9" t="s">
        <v>33</v>
      </c>
      <c r="J20" s="8" t="s">
        <v>136</v>
      </c>
      <c r="K20" s="10" t="s">
        <v>92</v>
      </c>
      <c r="L20" s="9" t="s">
        <v>41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8">
        <v>19.0</v>
      </c>
      <c r="B21" s="8" t="s">
        <v>147</v>
      </c>
      <c r="C21" s="9" t="s">
        <v>24</v>
      </c>
      <c r="D21" s="8" t="s">
        <v>24</v>
      </c>
      <c r="E21" s="9" t="s">
        <v>29</v>
      </c>
      <c r="F21" s="8" t="s">
        <v>31</v>
      </c>
      <c r="G21" s="8"/>
      <c r="H21" s="8"/>
      <c r="I21" s="9" t="s">
        <v>33</v>
      </c>
      <c r="J21" s="8" t="s">
        <v>136</v>
      </c>
      <c r="K21" s="10" t="s">
        <v>92</v>
      </c>
      <c r="L21" s="9" t="s">
        <v>41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8">
        <v>20.0</v>
      </c>
      <c r="B22" s="8" t="s">
        <v>148</v>
      </c>
      <c r="C22" s="9" t="s">
        <v>24</v>
      </c>
      <c r="D22" s="8" t="s">
        <v>24</v>
      </c>
      <c r="E22" s="9" t="s">
        <v>29</v>
      </c>
      <c r="F22" s="8" t="s">
        <v>31</v>
      </c>
      <c r="G22" s="8"/>
      <c r="H22" s="8"/>
      <c r="I22" s="9" t="s">
        <v>33</v>
      </c>
      <c r="J22" s="8" t="s">
        <v>136</v>
      </c>
      <c r="K22" s="10" t="s">
        <v>92</v>
      </c>
      <c r="L22" s="9" t="s">
        <v>41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8">
        <v>21.0</v>
      </c>
      <c r="B23" s="8" t="s">
        <v>150</v>
      </c>
      <c r="C23" s="9" t="s">
        <v>24</v>
      </c>
      <c r="D23" s="8" t="s">
        <v>24</v>
      </c>
      <c r="E23" s="9" t="s">
        <v>29</v>
      </c>
      <c r="F23" s="8" t="s">
        <v>31</v>
      </c>
      <c r="G23" s="8"/>
      <c r="H23" s="8"/>
      <c r="I23" s="9" t="s">
        <v>33</v>
      </c>
      <c r="J23" s="8" t="s">
        <v>136</v>
      </c>
      <c r="K23" s="10" t="s">
        <v>92</v>
      </c>
      <c r="L23" s="9" t="s">
        <v>41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8">
        <v>22.0</v>
      </c>
      <c r="B24" s="8" t="s">
        <v>151</v>
      </c>
      <c r="C24" s="9" t="s">
        <v>24</v>
      </c>
      <c r="D24" s="8" t="s">
        <v>24</v>
      </c>
      <c r="E24" s="9" t="s">
        <v>64</v>
      </c>
      <c r="F24" s="8" t="s">
        <v>31</v>
      </c>
      <c r="G24" s="8"/>
      <c r="H24" s="8"/>
      <c r="I24" s="9" t="s">
        <v>33</v>
      </c>
      <c r="J24" s="8" t="s">
        <v>152</v>
      </c>
      <c r="K24" s="10" t="s">
        <v>36</v>
      </c>
      <c r="L24" s="9" t="s">
        <v>153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8">
        <v>23.0</v>
      </c>
      <c r="B25" s="8" t="s">
        <v>154</v>
      </c>
      <c r="C25" s="9" t="s">
        <v>24</v>
      </c>
      <c r="D25" s="8" t="s">
        <v>24</v>
      </c>
      <c r="E25" s="9" t="s">
        <v>64</v>
      </c>
      <c r="F25" s="8" t="s">
        <v>31</v>
      </c>
      <c r="G25" s="8"/>
      <c r="H25" s="8"/>
      <c r="I25" s="9" t="s">
        <v>33</v>
      </c>
      <c r="J25" s="8" t="s">
        <v>152</v>
      </c>
      <c r="K25" s="10" t="s">
        <v>36</v>
      </c>
      <c r="L25" s="9" t="s">
        <v>153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8">
        <v>24.0</v>
      </c>
      <c r="B26" s="8" t="s">
        <v>155</v>
      </c>
      <c r="C26" s="9" t="s">
        <v>24</v>
      </c>
      <c r="D26" s="8" t="s">
        <v>24</v>
      </c>
      <c r="E26" s="9" t="s">
        <v>64</v>
      </c>
      <c r="F26" s="8" t="s">
        <v>31</v>
      </c>
      <c r="G26" s="8"/>
      <c r="H26" s="8"/>
      <c r="I26" s="9" t="s">
        <v>33</v>
      </c>
      <c r="J26" s="8" t="s">
        <v>152</v>
      </c>
      <c r="K26" s="10" t="s">
        <v>36</v>
      </c>
      <c r="L26" s="9" t="s">
        <v>153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8">
        <v>25.0</v>
      </c>
      <c r="B27" s="8" t="s">
        <v>157</v>
      </c>
      <c r="C27" s="9" t="s">
        <v>24</v>
      </c>
      <c r="D27" s="8" t="s">
        <v>24</v>
      </c>
      <c r="E27" s="9" t="s">
        <v>64</v>
      </c>
      <c r="F27" s="8" t="s">
        <v>31</v>
      </c>
      <c r="G27" s="8"/>
      <c r="H27" s="8"/>
      <c r="I27" s="9" t="s">
        <v>33</v>
      </c>
      <c r="J27" s="8" t="s">
        <v>152</v>
      </c>
      <c r="K27" s="10" t="s">
        <v>36</v>
      </c>
      <c r="L27" s="9" t="s">
        <v>153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8">
        <v>26.0</v>
      </c>
      <c r="B28" s="8" t="s">
        <v>160</v>
      </c>
      <c r="C28" s="9" t="s">
        <v>24</v>
      </c>
      <c r="D28" s="8" t="s">
        <v>24</v>
      </c>
      <c r="E28" s="9" t="s">
        <v>64</v>
      </c>
      <c r="F28" s="8" t="s">
        <v>31</v>
      </c>
      <c r="G28" s="8"/>
      <c r="H28" s="8"/>
      <c r="I28" s="9" t="s">
        <v>33</v>
      </c>
      <c r="J28" s="8" t="s">
        <v>152</v>
      </c>
      <c r="K28" s="10" t="s">
        <v>36</v>
      </c>
      <c r="L28" s="9" t="s">
        <v>153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8">
        <v>27.0</v>
      </c>
      <c r="B29" s="8" t="s">
        <v>161</v>
      </c>
      <c r="C29" s="9" t="s">
        <v>24</v>
      </c>
      <c r="D29" s="8" t="s">
        <v>24</v>
      </c>
      <c r="E29" s="9" t="s">
        <v>29</v>
      </c>
      <c r="F29" s="8" t="s">
        <v>31</v>
      </c>
      <c r="G29" s="8"/>
      <c r="H29" s="8"/>
      <c r="I29" s="9" t="s">
        <v>33</v>
      </c>
      <c r="J29" s="8" t="s">
        <v>152</v>
      </c>
      <c r="K29" s="10" t="s">
        <v>36</v>
      </c>
      <c r="L29" s="9" t="s">
        <v>163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8">
        <v>28.0</v>
      </c>
      <c r="B30" s="8" t="s">
        <v>164</v>
      </c>
      <c r="C30" s="9" t="s">
        <v>24</v>
      </c>
      <c r="D30" s="8" t="s">
        <v>24</v>
      </c>
      <c r="E30" s="9" t="s">
        <v>29</v>
      </c>
      <c r="F30" s="8" t="s">
        <v>31</v>
      </c>
      <c r="G30" s="8"/>
      <c r="H30" s="8"/>
      <c r="I30" s="9" t="s">
        <v>33</v>
      </c>
      <c r="J30" s="8" t="s">
        <v>152</v>
      </c>
      <c r="K30" s="10" t="s">
        <v>36</v>
      </c>
      <c r="L30" s="9" t="s">
        <v>163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8">
        <v>29.0</v>
      </c>
      <c r="B31" s="8" t="s">
        <v>165</v>
      </c>
      <c r="C31" s="9" t="s">
        <v>24</v>
      </c>
      <c r="D31" s="8" t="s">
        <v>24</v>
      </c>
      <c r="E31" s="9" t="s">
        <v>64</v>
      </c>
      <c r="F31" s="8" t="s">
        <v>31</v>
      </c>
      <c r="G31" s="8"/>
      <c r="H31" s="8"/>
      <c r="I31" s="9" t="s">
        <v>33</v>
      </c>
      <c r="J31" s="8" t="s">
        <v>152</v>
      </c>
      <c r="K31" s="10" t="s">
        <v>36</v>
      </c>
      <c r="L31" s="9" t="s">
        <v>153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8">
        <v>30.0</v>
      </c>
      <c r="B32" s="8" t="s">
        <v>166</v>
      </c>
      <c r="C32" s="9" t="s">
        <v>24</v>
      </c>
      <c r="D32" s="8" t="s">
        <v>24</v>
      </c>
      <c r="E32" s="9" t="s">
        <v>64</v>
      </c>
      <c r="F32" s="8" t="s">
        <v>31</v>
      </c>
      <c r="G32" s="8"/>
      <c r="H32" s="8"/>
      <c r="I32" s="9" t="s">
        <v>33</v>
      </c>
      <c r="J32" s="8" t="s">
        <v>152</v>
      </c>
      <c r="K32" s="10" t="s">
        <v>36</v>
      </c>
      <c r="L32" s="9" t="s">
        <v>153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8">
        <v>31.0</v>
      </c>
      <c r="B33" s="8" t="s">
        <v>167</v>
      </c>
      <c r="C33" s="9" t="s">
        <v>24</v>
      </c>
      <c r="D33" s="8" t="s">
        <v>24</v>
      </c>
      <c r="E33" s="9" t="s">
        <v>64</v>
      </c>
      <c r="F33" s="8" t="s">
        <v>31</v>
      </c>
      <c r="G33" s="8"/>
      <c r="H33" s="8"/>
      <c r="I33" s="9" t="s">
        <v>33</v>
      </c>
      <c r="J33" s="8" t="s">
        <v>152</v>
      </c>
      <c r="K33" s="10" t="s">
        <v>36</v>
      </c>
      <c r="L33" s="9" t="s">
        <v>153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8">
        <v>32.0</v>
      </c>
      <c r="B34" s="8" t="s">
        <v>168</v>
      </c>
      <c r="C34" s="9" t="s">
        <v>24</v>
      </c>
      <c r="D34" s="8" t="s">
        <v>24</v>
      </c>
      <c r="E34" s="9" t="s">
        <v>64</v>
      </c>
      <c r="F34" s="8" t="s">
        <v>31</v>
      </c>
      <c r="G34" s="8"/>
      <c r="H34" s="8"/>
      <c r="I34" s="9" t="s">
        <v>33</v>
      </c>
      <c r="J34" s="8" t="s">
        <v>152</v>
      </c>
      <c r="K34" s="10" t="s">
        <v>36</v>
      </c>
      <c r="L34" s="9" t="s">
        <v>153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8">
        <v>33.0</v>
      </c>
      <c r="B35" s="8" t="s">
        <v>169</v>
      </c>
      <c r="C35" s="9" t="s">
        <v>24</v>
      </c>
      <c r="D35" s="8" t="s">
        <v>24</v>
      </c>
      <c r="E35" s="9" t="s">
        <v>64</v>
      </c>
      <c r="F35" s="8" t="s">
        <v>31</v>
      </c>
      <c r="G35" s="8"/>
      <c r="H35" s="8"/>
      <c r="I35" s="9" t="s">
        <v>33</v>
      </c>
      <c r="J35" s="8" t="s">
        <v>152</v>
      </c>
      <c r="K35" s="10" t="s">
        <v>36</v>
      </c>
      <c r="L35" s="9" t="s">
        <v>153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8">
        <v>34.0</v>
      </c>
      <c r="B36" s="8" t="s">
        <v>170</v>
      </c>
      <c r="C36" s="9" t="s">
        <v>24</v>
      </c>
      <c r="D36" s="8" t="s">
        <v>24</v>
      </c>
      <c r="E36" s="9" t="s">
        <v>64</v>
      </c>
      <c r="F36" s="8" t="s">
        <v>31</v>
      </c>
      <c r="G36" s="8"/>
      <c r="H36" s="8"/>
      <c r="I36" s="9" t="s">
        <v>33</v>
      </c>
      <c r="J36" s="8" t="s">
        <v>152</v>
      </c>
      <c r="K36" s="10" t="s">
        <v>36</v>
      </c>
      <c r="L36" s="9" t="s">
        <v>153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8">
        <v>35.0</v>
      </c>
      <c r="B37" s="8" t="s">
        <v>171</v>
      </c>
      <c r="C37" s="9" t="s">
        <v>24</v>
      </c>
      <c r="D37" s="8" t="s">
        <v>24</v>
      </c>
      <c r="E37" s="9" t="s">
        <v>64</v>
      </c>
      <c r="F37" s="8" t="s">
        <v>31</v>
      </c>
      <c r="G37" s="8"/>
      <c r="H37" s="8"/>
      <c r="I37" s="9" t="s">
        <v>33</v>
      </c>
      <c r="J37" s="8" t="s">
        <v>152</v>
      </c>
      <c r="K37" s="10" t="s">
        <v>36</v>
      </c>
      <c r="L37" s="9" t="s">
        <v>153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8">
        <v>36.0</v>
      </c>
      <c r="B38" s="8" t="s">
        <v>172</v>
      </c>
      <c r="C38" s="9" t="s">
        <v>24</v>
      </c>
      <c r="D38" s="8" t="s">
        <v>24</v>
      </c>
      <c r="E38" s="9" t="s">
        <v>64</v>
      </c>
      <c r="F38" s="8" t="s">
        <v>31</v>
      </c>
      <c r="G38" s="8"/>
      <c r="H38" s="8"/>
      <c r="I38" s="9" t="s">
        <v>33</v>
      </c>
      <c r="J38" s="8" t="s">
        <v>152</v>
      </c>
      <c r="K38" s="10" t="s">
        <v>36</v>
      </c>
      <c r="L38" s="9" t="s">
        <v>153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8">
        <v>37.0</v>
      </c>
      <c r="B39" s="8" t="s">
        <v>173</v>
      </c>
      <c r="C39" s="9" t="s">
        <v>24</v>
      </c>
      <c r="D39" s="8" t="s">
        <v>24</v>
      </c>
      <c r="E39" s="9" t="s">
        <v>64</v>
      </c>
      <c r="F39" s="8" t="s">
        <v>31</v>
      </c>
      <c r="G39" s="8"/>
      <c r="H39" s="8"/>
      <c r="I39" s="9" t="s">
        <v>33</v>
      </c>
      <c r="J39" s="8" t="s">
        <v>152</v>
      </c>
      <c r="K39" s="10" t="s">
        <v>36</v>
      </c>
      <c r="L39" s="9" t="s">
        <v>153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8">
        <v>38.0</v>
      </c>
      <c r="B40" s="8" t="s">
        <v>174</v>
      </c>
      <c r="C40" s="9" t="s">
        <v>24</v>
      </c>
      <c r="D40" s="8" t="s">
        <v>24</v>
      </c>
      <c r="E40" s="9" t="s">
        <v>64</v>
      </c>
      <c r="F40" s="8" t="s">
        <v>31</v>
      </c>
      <c r="G40" s="8"/>
      <c r="H40" s="8"/>
      <c r="I40" s="9" t="s">
        <v>33</v>
      </c>
      <c r="J40" s="8" t="s">
        <v>152</v>
      </c>
      <c r="K40" s="10" t="s">
        <v>36</v>
      </c>
      <c r="L40" s="9" t="s">
        <v>153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8">
        <v>39.0</v>
      </c>
      <c r="B41" s="8" t="s">
        <v>175</v>
      </c>
      <c r="C41" s="9" t="s">
        <v>24</v>
      </c>
      <c r="D41" s="8" t="s">
        <v>24</v>
      </c>
      <c r="E41" s="9" t="s">
        <v>64</v>
      </c>
      <c r="F41" s="8" t="s">
        <v>31</v>
      </c>
      <c r="G41" s="8"/>
      <c r="H41" s="8"/>
      <c r="I41" s="9" t="s">
        <v>33</v>
      </c>
      <c r="J41" s="8" t="s">
        <v>152</v>
      </c>
      <c r="K41" s="10" t="s">
        <v>36</v>
      </c>
      <c r="L41" s="9" t="s">
        <v>153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8">
        <v>40.0</v>
      </c>
      <c r="B42" s="8" t="s">
        <v>177</v>
      </c>
      <c r="C42" s="9" t="s">
        <v>24</v>
      </c>
      <c r="D42" s="8" t="s">
        <v>24</v>
      </c>
      <c r="E42" s="9" t="s">
        <v>64</v>
      </c>
      <c r="F42" s="8" t="s">
        <v>31</v>
      </c>
      <c r="G42" s="8"/>
      <c r="H42" s="8"/>
      <c r="I42" s="9" t="s">
        <v>33</v>
      </c>
      <c r="J42" s="8" t="s">
        <v>152</v>
      </c>
      <c r="K42" s="10" t="s">
        <v>36</v>
      </c>
      <c r="L42" s="9" t="s">
        <v>153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8">
        <v>41.0</v>
      </c>
      <c r="B43" s="8" t="s">
        <v>178</v>
      </c>
      <c r="C43" s="9" t="s">
        <v>24</v>
      </c>
      <c r="D43" s="8" t="s">
        <v>24</v>
      </c>
      <c r="E43" s="9" t="s">
        <v>64</v>
      </c>
      <c r="F43" s="8" t="s">
        <v>31</v>
      </c>
      <c r="G43" s="8"/>
      <c r="H43" s="8"/>
      <c r="I43" s="9" t="s">
        <v>33</v>
      </c>
      <c r="J43" s="8" t="s">
        <v>152</v>
      </c>
      <c r="K43" s="10" t="s">
        <v>36</v>
      </c>
      <c r="L43" s="9" t="s">
        <v>153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8">
        <v>42.0</v>
      </c>
      <c r="B44" s="8" t="s">
        <v>151</v>
      </c>
      <c r="C44" s="9" t="s">
        <v>24</v>
      </c>
      <c r="D44" s="8" t="s">
        <v>24</v>
      </c>
      <c r="E44" s="9" t="s">
        <v>64</v>
      </c>
      <c r="F44" s="8" t="s">
        <v>31</v>
      </c>
      <c r="G44" s="8"/>
      <c r="H44" s="8"/>
      <c r="I44" s="9" t="s">
        <v>33</v>
      </c>
      <c r="J44" s="8" t="s">
        <v>152</v>
      </c>
      <c r="K44" s="10" t="s">
        <v>92</v>
      </c>
      <c r="L44" s="9" t="s">
        <v>153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8">
        <v>43.0</v>
      </c>
      <c r="B45" s="8" t="s">
        <v>154</v>
      </c>
      <c r="C45" s="9" t="s">
        <v>24</v>
      </c>
      <c r="D45" s="8" t="s">
        <v>24</v>
      </c>
      <c r="E45" s="9" t="s">
        <v>64</v>
      </c>
      <c r="F45" s="8" t="s">
        <v>31</v>
      </c>
      <c r="G45" s="8"/>
      <c r="H45" s="8"/>
      <c r="I45" s="9" t="s">
        <v>33</v>
      </c>
      <c r="J45" s="8" t="s">
        <v>152</v>
      </c>
      <c r="K45" s="10" t="s">
        <v>92</v>
      </c>
      <c r="L45" s="9" t="s">
        <v>153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8">
        <v>44.0</v>
      </c>
      <c r="B46" s="8" t="s">
        <v>155</v>
      </c>
      <c r="C46" s="9" t="s">
        <v>24</v>
      </c>
      <c r="D46" s="8" t="s">
        <v>24</v>
      </c>
      <c r="E46" s="9" t="s">
        <v>64</v>
      </c>
      <c r="F46" s="8" t="s">
        <v>31</v>
      </c>
      <c r="G46" s="8"/>
      <c r="H46" s="8"/>
      <c r="I46" s="9" t="s">
        <v>33</v>
      </c>
      <c r="J46" s="8" t="s">
        <v>152</v>
      </c>
      <c r="K46" s="10" t="s">
        <v>92</v>
      </c>
      <c r="L46" s="9" t="s">
        <v>153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8">
        <v>45.0</v>
      </c>
      <c r="B47" s="8" t="s">
        <v>157</v>
      </c>
      <c r="C47" s="9" t="s">
        <v>24</v>
      </c>
      <c r="D47" s="8" t="s">
        <v>24</v>
      </c>
      <c r="E47" s="9" t="s">
        <v>64</v>
      </c>
      <c r="F47" s="8" t="s">
        <v>31</v>
      </c>
      <c r="G47" s="8"/>
      <c r="H47" s="8"/>
      <c r="I47" s="9" t="s">
        <v>33</v>
      </c>
      <c r="J47" s="8" t="s">
        <v>152</v>
      </c>
      <c r="K47" s="10" t="s">
        <v>92</v>
      </c>
      <c r="L47" s="9" t="s">
        <v>153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8">
        <v>46.0</v>
      </c>
      <c r="B48" s="8" t="s">
        <v>160</v>
      </c>
      <c r="C48" s="9" t="s">
        <v>24</v>
      </c>
      <c r="D48" s="8" t="s">
        <v>24</v>
      </c>
      <c r="E48" s="9" t="s">
        <v>64</v>
      </c>
      <c r="F48" s="8" t="s">
        <v>31</v>
      </c>
      <c r="G48" s="8"/>
      <c r="H48" s="8"/>
      <c r="I48" s="9" t="s">
        <v>33</v>
      </c>
      <c r="J48" s="8" t="s">
        <v>152</v>
      </c>
      <c r="K48" s="10" t="s">
        <v>92</v>
      </c>
      <c r="L48" s="9" t="s">
        <v>153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8">
        <v>47.0</v>
      </c>
      <c r="B49" s="8" t="s">
        <v>161</v>
      </c>
      <c r="C49" s="9" t="s">
        <v>24</v>
      </c>
      <c r="D49" s="8" t="s">
        <v>24</v>
      </c>
      <c r="E49" s="9" t="s">
        <v>29</v>
      </c>
      <c r="F49" s="8" t="s">
        <v>31</v>
      </c>
      <c r="G49" s="8"/>
      <c r="H49" s="8"/>
      <c r="I49" s="9" t="s">
        <v>33</v>
      </c>
      <c r="J49" s="8" t="s">
        <v>152</v>
      </c>
      <c r="K49" s="10" t="s">
        <v>92</v>
      </c>
      <c r="L49" s="9" t="s">
        <v>163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8">
        <v>48.0</v>
      </c>
      <c r="B50" s="8" t="s">
        <v>164</v>
      </c>
      <c r="C50" s="9" t="s">
        <v>24</v>
      </c>
      <c r="D50" s="8" t="s">
        <v>24</v>
      </c>
      <c r="E50" s="9" t="s">
        <v>29</v>
      </c>
      <c r="F50" s="8" t="s">
        <v>31</v>
      </c>
      <c r="G50" s="8"/>
      <c r="H50" s="8"/>
      <c r="I50" s="9" t="s">
        <v>33</v>
      </c>
      <c r="J50" s="8" t="s">
        <v>152</v>
      </c>
      <c r="K50" s="10" t="s">
        <v>92</v>
      </c>
      <c r="L50" s="9" t="s">
        <v>163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8">
        <v>49.0</v>
      </c>
      <c r="B51" s="8" t="s">
        <v>165</v>
      </c>
      <c r="C51" s="9" t="s">
        <v>24</v>
      </c>
      <c r="D51" s="8" t="s">
        <v>24</v>
      </c>
      <c r="E51" s="9" t="s">
        <v>64</v>
      </c>
      <c r="F51" s="8" t="s">
        <v>31</v>
      </c>
      <c r="G51" s="8"/>
      <c r="H51" s="8"/>
      <c r="I51" s="9" t="s">
        <v>33</v>
      </c>
      <c r="J51" s="8" t="s">
        <v>152</v>
      </c>
      <c r="K51" s="10" t="s">
        <v>92</v>
      </c>
      <c r="L51" s="9" t="s">
        <v>153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8">
        <v>50.0</v>
      </c>
      <c r="B52" s="8" t="s">
        <v>166</v>
      </c>
      <c r="C52" s="9" t="s">
        <v>24</v>
      </c>
      <c r="D52" s="8" t="s">
        <v>24</v>
      </c>
      <c r="E52" s="9" t="s">
        <v>64</v>
      </c>
      <c r="F52" s="8" t="s">
        <v>31</v>
      </c>
      <c r="G52" s="8"/>
      <c r="H52" s="8"/>
      <c r="I52" s="9" t="s">
        <v>33</v>
      </c>
      <c r="J52" s="8" t="s">
        <v>152</v>
      </c>
      <c r="K52" s="10" t="s">
        <v>92</v>
      </c>
      <c r="L52" s="9" t="s">
        <v>153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8">
        <v>51.0</v>
      </c>
      <c r="B53" s="8" t="s">
        <v>167</v>
      </c>
      <c r="C53" s="9" t="s">
        <v>24</v>
      </c>
      <c r="D53" s="8" t="s">
        <v>24</v>
      </c>
      <c r="E53" s="9" t="s">
        <v>64</v>
      </c>
      <c r="F53" s="8" t="s">
        <v>31</v>
      </c>
      <c r="G53" s="8"/>
      <c r="H53" s="8"/>
      <c r="I53" s="9" t="s">
        <v>33</v>
      </c>
      <c r="J53" s="8" t="s">
        <v>152</v>
      </c>
      <c r="K53" s="10" t="s">
        <v>92</v>
      </c>
      <c r="L53" s="9" t="s">
        <v>153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8">
        <v>52.0</v>
      </c>
      <c r="B54" s="8" t="s">
        <v>168</v>
      </c>
      <c r="C54" s="9" t="s">
        <v>24</v>
      </c>
      <c r="D54" s="8" t="s">
        <v>24</v>
      </c>
      <c r="E54" s="9" t="s">
        <v>64</v>
      </c>
      <c r="F54" s="8" t="s">
        <v>31</v>
      </c>
      <c r="G54" s="8"/>
      <c r="H54" s="8"/>
      <c r="I54" s="9" t="s">
        <v>33</v>
      </c>
      <c r="J54" s="8" t="s">
        <v>152</v>
      </c>
      <c r="K54" s="10" t="s">
        <v>92</v>
      </c>
      <c r="L54" s="9" t="s">
        <v>153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8">
        <v>53.0</v>
      </c>
      <c r="B55" s="8" t="s">
        <v>169</v>
      </c>
      <c r="C55" s="9" t="s">
        <v>24</v>
      </c>
      <c r="D55" s="8" t="s">
        <v>24</v>
      </c>
      <c r="E55" s="9" t="s">
        <v>64</v>
      </c>
      <c r="F55" s="8" t="s">
        <v>31</v>
      </c>
      <c r="G55" s="8"/>
      <c r="H55" s="8"/>
      <c r="I55" s="9" t="s">
        <v>33</v>
      </c>
      <c r="J55" s="8" t="s">
        <v>152</v>
      </c>
      <c r="K55" s="10" t="s">
        <v>92</v>
      </c>
      <c r="L55" s="9" t="s">
        <v>153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8">
        <v>54.0</v>
      </c>
      <c r="B56" s="8" t="s">
        <v>170</v>
      </c>
      <c r="C56" s="9" t="s">
        <v>24</v>
      </c>
      <c r="D56" s="8" t="s">
        <v>24</v>
      </c>
      <c r="E56" s="9" t="s">
        <v>64</v>
      </c>
      <c r="F56" s="8" t="s">
        <v>31</v>
      </c>
      <c r="G56" s="8"/>
      <c r="H56" s="8"/>
      <c r="I56" s="9" t="s">
        <v>33</v>
      </c>
      <c r="J56" s="8" t="s">
        <v>152</v>
      </c>
      <c r="K56" s="10" t="s">
        <v>92</v>
      </c>
      <c r="L56" s="9" t="s">
        <v>153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8">
        <v>55.0</v>
      </c>
      <c r="B57" s="8" t="s">
        <v>171</v>
      </c>
      <c r="C57" s="9" t="s">
        <v>24</v>
      </c>
      <c r="D57" s="8" t="s">
        <v>24</v>
      </c>
      <c r="E57" s="9" t="s">
        <v>64</v>
      </c>
      <c r="F57" s="8" t="s">
        <v>31</v>
      </c>
      <c r="G57" s="8"/>
      <c r="H57" s="8"/>
      <c r="I57" s="9" t="s">
        <v>33</v>
      </c>
      <c r="J57" s="8" t="s">
        <v>152</v>
      </c>
      <c r="K57" s="10" t="s">
        <v>92</v>
      </c>
      <c r="L57" s="9" t="s">
        <v>153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8">
        <v>56.0</v>
      </c>
      <c r="B58" s="8" t="s">
        <v>172</v>
      </c>
      <c r="C58" s="9" t="s">
        <v>24</v>
      </c>
      <c r="D58" s="8" t="s">
        <v>24</v>
      </c>
      <c r="E58" s="9" t="s">
        <v>64</v>
      </c>
      <c r="F58" s="8" t="s">
        <v>31</v>
      </c>
      <c r="G58" s="8"/>
      <c r="H58" s="8"/>
      <c r="I58" s="9" t="s">
        <v>33</v>
      </c>
      <c r="J58" s="8" t="s">
        <v>152</v>
      </c>
      <c r="K58" s="10" t="s">
        <v>92</v>
      </c>
      <c r="L58" s="9" t="s">
        <v>153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8">
        <v>57.0</v>
      </c>
      <c r="B59" s="8" t="s">
        <v>173</v>
      </c>
      <c r="C59" s="9" t="s">
        <v>24</v>
      </c>
      <c r="D59" s="8" t="s">
        <v>24</v>
      </c>
      <c r="E59" s="9" t="s">
        <v>64</v>
      </c>
      <c r="F59" s="8" t="s">
        <v>31</v>
      </c>
      <c r="G59" s="8"/>
      <c r="H59" s="8"/>
      <c r="I59" s="9" t="s">
        <v>33</v>
      </c>
      <c r="J59" s="8" t="s">
        <v>152</v>
      </c>
      <c r="K59" s="10" t="s">
        <v>92</v>
      </c>
      <c r="L59" s="9" t="s">
        <v>153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8">
        <v>58.0</v>
      </c>
      <c r="B60" s="8" t="s">
        <v>174</v>
      </c>
      <c r="C60" s="9" t="s">
        <v>24</v>
      </c>
      <c r="D60" s="8" t="s">
        <v>24</v>
      </c>
      <c r="E60" s="9" t="s">
        <v>64</v>
      </c>
      <c r="F60" s="8" t="s">
        <v>31</v>
      </c>
      <c r="G60" s="8"/>
      <c r="H60" s="8"/>
      <c r="I60" s="9" t="s">
        <v>33</v>
      </c>
      <c r="J60" s="8" t="s">
        <v>152</v>
      </c>
      <c r="K60" s="10" t="s">
        <v>92</v>
      </c>
      <c r="L60" s="9" t="s">
        <v>153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8">
        <v>59.0</v>
      </c>
      <c r="B61" s="8" t="s">
        <v>175</v>
      </c>
      <c r="C61" s="9" t="s">
        <v>24</v>
      </c>
      <c r="D61" s="8" t="s">
        <v>24</v>
      </c>
      <c r="E61" s="9" t="s">
        <v>64</v>
      </c>
      <c r="F61" s="8" t="s">
        <v>31</v>
      </c>
      <c r="G61" s="8"/>
      <c r="H61" s="8"/>
      <c r="I61" s="9" t="s">
        <v>33</v>
      </c>
      <c r="J61" s="8" t="s">
        <v>152</v>
      </c>
      <c r="K61" s="10" t="s">
        <v>92</v>
      </c>
      <c r="L61" s="9" t="s">
        <v>153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8">
        <v>60.0</v>
      </c>
      <c r="B62" s="8" t="s">
        <v>177</v>
      </c>
      <c r="C62" s="9" t="s">
        <v>24</v>
      </c>
      <c r="D62" s="8" t="s">
        <v>24</v>
      </c>
      <c r="E62" s="9" t="s">
        <v>64</v>
      </c>
      <c r="F62" s="8" t="s">
        <v>31</v>
      </c>
      <c r="G62" s="8"/>
      <c r="H62" s="8"/>
      <c r="I62" s="9" t="s">
        <v>33</v>
      </c>
      <c r="J62" s="8" t="s">
        <v>152</v>
      </c>
      <c r="K62" s="10" t="s">
        <v>92</v>
      </c>
      <c r="L62" s="9" t="s">
        <v>153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8">
        <v>61.0</v>
      </c>
      <c r="B63" s="8" t="s">
        <v>178</v>
      </c>
      <c r="C63" s="9" t="s">
        <v>24</v>
      </c>
      <c r="D63" s="8" t="s">
        <v>24</v>
      </c>
      <c r="E63" s="9" t="s">
        <v>64</v>
      </c>
      <c r="F63" s="8" t="s">
        <v>31</v>
      </c>
      <c r="G63" s="8"/>
      <c r="H63" s="8"/>
      <c r="I63" s="9" t="s">
        <v>33</v>
      </c>
      <c r="J63" s="8" t="s">
        <v>152</v>
      </c>
      <c r="K63" s="10" t="s">
        <v>92</v>
      </c>
      <c r="L63" s="9" t="s">
        <v>153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8">
        <v>62.0</v>
      </c>
      <c r="B64" s="8" t="s">
        <v>151</v>
      </c>
      <c r="C64" s="9" t="s">
        <v>24</v>
      </c>
      <c r="D64" s="8" t="s">
        <v>24</v>
      </c>
      <c r="E64" s="9" t="s">
        <v>64</v>
      </c>
      <c r="F64" s="8" t="s">
        <v>31</v>
      </c>
      <c r="G64" s="8"/>
      <c r="H64" s="8"/>
      <c r="I64" s="9" t="s">
        <v>33</v>
      </c>
      <c r="J64" s="8" t="s">
        <v>152</v>
      </c>
      <c r="K64" s="10" t="s">
        <v>118</v>
      </c>
      <c r="L64" s="9" t="s">
        <v>153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8">
        <v>63.0</v>
      </c>
      <c r="B65" s="8" t="s">
        <v>154</v>
      </c>
      <c r="C65" s="9" t="s">
        <v>24</v>
      </c>
      <c r="D65" s="8" t="s">
        <v>24</v>
      </c>
      <c r="E65" s="9" t="s">
        <v>64</v>
      </c>
      <c r="F65" s="8" t="s">
        <v>31</v>
      </c>
      <c r="G65" s="8"/>
      <c r="H65" s="8"/>
      <c r="I65" s="9" t="s">
        <v>33</v>
      </c>
      <c r="J65" s="8" t="s">
        <v>152</v>
      </c>
      <c r="K65" s="10" t="s">
        <v>118</v>
      </c>
      <c r="L65" s="9" t="s">
        <v>153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8">
        <v>64.0</v>
      </c>
      <c r="B66" s="8" t="s">
        <v>155</v>
      </c>
      <c r="C66" s="9" t="s">
        <v>24</v>
      </c>
      <c r="D66" s="8" t="s">
        <v>24</v>
      </c>
      <c r="E66" s="9" t="s">
        <v>64</v>
      </c>
      <c r="F66" s="8" t="s">
        <v>31</v>
      </c>
      <c r="G66" s="8"/>
      <c r="H66" s="8"/>
      <c r="I66" s="9" t="s">
        <v>33</v>
      </c>
      <c r="J66" s="8" t="s">
        <v>152</v>
      </c>
      <c r="K66" s="10" t="s">
        <v>118</v>
      </c>
      <c r="L66" s="9" t="s">
        <v>153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8">
        <v>65.0</v>
      </c>
      <c r="B67" s="8" t="s">
        <v>157</v>
      </c>
      <c r="C67" s="9" t="s">
        <v>24</v>
      </c>
      <c r="D67" s="8" t="s">
        <v>24</v>
      </c>
      <c r="E67" s="9" t="s">
        <v>64</v>
      </c>
      <c r="F67" s="8" t="s">
        <v>31</v>
      </c>
      <c r="G67" s="8"/>
      <c r="H67" s="8"/>
      <c r="I67" s="9" t="s">
        <v>33</v>
      </c>
      <c r="J67" s="8" t="s">
        <v>152</v>
      </c>
      <c r="K67" s="10" t="s">
        <v>118</v>
      </c>
      <c r="L67" s="9" t="s">
        <v>153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8">
        <v>66.0</v>
      </c>
      <c r="B68" s="8" t="s">
        <v>160</v>
      </c>
      <c r="C68" s="9" t="s">
        <v>24</v>
      </c>
      <c r="D68" s="8" t="s">
        <v>24</v>
      </c>
      <c r="E68" s="9" t="s">
        <v>64</v>
      </c>
      <c r="F68" s="8" t="s">
        <v>31</v>
      </c>
      <c r="G68" s="8"/>
      <c r="H68" s="8"/>
      <c r="I68" s="9" t="s">
        <v>33</v>
      </c>
      <c r="J68" s="8" t="s">
        <v>152</v>
      </c>
      <c r="K68" s="10" t="s">
        <v>118</v>
      </c>
      <c r="L68" s="9" t="s">
        <v>153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8">
        <v>67.0</v>
      </c>
      <c r="B69" s="8" t="s">
        <v>161</v>
      </c>
      <c r="C69" s="9" t="s">
        <v>24</v>
      </c>
      <c r="D69" s="8" t="s">
        <v>24</v>
      </c>
      <c r="E69" s="9" t="s">
        <v>29</v>
      </c>
      <c r="F69" s="8" t="s">
        <v>31</v>
      </c>
      <c r="G69" s="8"/>
      <c r="H69" s="8"/>
      <c r="I69" s="9" t="s">
        <v>33</v>
      </c>
      <c r="J69" s="8" t="s">
        <v>152</v>
      </c>
      <c r="K69" s="10" t="s">
        <v>118</v>
      </c>
      <c r="L69" s="9" t="s">
        <v>163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8">
        <v>68.0</v>
      </c>
      <c r="B70" s="8" t="s">
        <v>164</v>
      </c>
      <c r="C70" s="9" t="s">
        <v>24</v>
      </c>
      <c r="D70" s="8" t="s">
        <v>24</v>
      </c>
      <c r="E70" s="9" t="s">
        <v>29</v>
      </c>
      <c r="F70" s="8" t="s">
        <v>31</v>
      </c>
      <c r="G70" s="8"/>
      <c r="H70" s="8"/>
      <c r="I70" s="9" t="s">
        <v>33</v>
      </c>
      <c r="J70" s="8" t="s">
        <v>152</v>
      </c>
      <c r="K70" s="10" t="s">
        <v>118</v>
      </c>
      <c r="L70" s="9" t="s">
        <v>163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8">
        <v>69.0</v>
      </c>
      <c r="B71" s="8" t="s">
        <v>165</v>
      </c>
      <c r="C71" s="9" t="s">
        <v>24</v>
      </c>
      <c r="D71" s="8" t="s">
        <v>24</v>
      </c>
      <c r="E71" s="9" t="s">
        <v>64</v>
      </c>
      <c r="F71" s="8" t="s">
        <v>31</v>
      </c>
      <c r="G71" s="8"/>
      <c r="H71" s="8"/>
      <c r="I71" s="9" t="s">
        <v>33</v>
      </c>
      <c r="J71" s="8" t="s">
        <v>152</v>
      </c>
      <c r="K71" s="10" t="s">
        <v>118</v>
      </c>
      <c r="L71" s="9" t="s">
        <v>153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8">
        <v>70.0</v>
      </c>
      <c r="B72" s="8" t="s">
        <v>166</v>
      </c>
      <c r="C72" s="9" t="s">
        <v>24</v>
      </c>
      <c r="D72" s="8" t="s">
        <v>24</v>
      </c>
      <c r="E72" s="9" t="s">
        <v>64</v>
      </c>
      <c r="F72" s="8" t="s">
        <v>31</v>
      </c>
      <c r="G72" s="8"/>
      <c r="H72" s="8"/>
      <c r="I72" s="9" t="s">
        <v>33</v>
      </c>
      <c r="J72" s="8" t="s">
        <v>152</v>
      </c>
      <c r="K72" s="10" t="s">
        <v>118</v>
      </c>
      <c r="L72" s="9" t="s">
        <v>153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8">
        <v>71.0</v>
      </c>
      <c r="B73" s="8" t="s">
        <v>167</v>
      </c>
      <c r="C73" s="9" t="s">
        <v>24</v>
      </c>
      <c r="D73" s="8" t="s">
        <v>24</v>
      </c>
      <c r="E73" s="9" t="s">
        <v>64</v>
      </c>
      <c r="F73" s="8" t="s">
        <v>31</v>
      </c>
      <c r="G73" s="8"/>
      <c r="H73" s="8"/>
      <c r="I73" s="9" t="s">
        <v>33</v>
      </c>
      <c r="J73" s="8" t="s">
        <v>152</v>
      </c>
      <c r="K73" s="10" t="s">
        <v>118</v>
      </c>
      <c r="L73" s="9" t="s">
        <v>153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8">
        <v>72.0</v>
      </c>
      <c r="B74" s="8" t="s">
        <v>168</v>
      </c>
      <c r="C74" s="9" t="s">
        <v>24</v>
      </c>
      <c r="D74" s="8" t="s">
        <v>24</v>
      </c>
      <c r="E74" s="9" t="s">
        <v>64</v>
      </c>
      <c r="F74" s="8" t="s">
        <v>31</v>
      </c>
      <c r="G74" s="8"/>
      <c r="H74" s="8"/>
      <c r="I74" s="9" t="s">
        <v>33</v>
      </c>
      <c r="J74" s="8" t="s">
        <v>152</v>
      </c>
      <c r="K74" s="10" t="s">
        <v>118</v>
      </c>
      <c r="L74" s="9" t="s">
        <v>153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8">
        <v>73.0</v>
      </c>
      <c r="B75" s="8" t="s">
        <v>169</v>
      </c>
      <c r="C75" s="9" t="s">
        <v>24</v>
      </c>
      <c r="D75" s="8" t="s">
        <v>24</v>
      </c>
      <c r="E75" s="9" t="s">
        <v>64</v>
      </c>
      <c r="F75" s="8" t="s">
        <v>31</v>
      </c>
      <c r="G75" s="8"/>
      <c r="H75" s="8"/>
      <c r="I75" s="9" t="s">
        <v>33</v>
      </c>
      <c r="J75" s="8" t="s">
        <v>152</v>
      </c>
      <c r="K75" s="10" t="s">
        <v>118</v>
      </c>
      <c r="L75" s="9" t="s">
        <v>153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8">
        <v>74.0</v>
      </c>
      <c r="B76" s="8" t="s">
        <v>170</v>
      </c>
      <c r="C76" s="9" t="s">
        <v>24</v>
      </c>
      <c r="D76" s="8" t="s">
        <v>24</v>
      </c>
      <c r="E76" s="9" t="s">
        <v>64</v>
      </c>
      <c r="F76" s="8" t="s">
        <v>31</v>
      </c>
      <c r="G76" s="8"/>
      <c r="H76" s="8"/>
      <c r="I76" s="9" t="s">
        <v>33</v>
      </c>
      <c r="J76" s="8" t="s">
        <v>152</v>
      </c>
      <c r="K76" s="10" t="s">
        <v>118</v>
      </c>
      <c r="L76" s="9" t="s">
        <v>153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8">
        <v>75.0</v>
      </c>
      <c r="B77" s="8" t="s">
        <v>171</v>
      </c>
      <c r="C77" s="9" t="s">
        <v>24</v>
      </c>
      <c r="D77" s="8" t="s">
        <v>24</v>
      </c>
      <c r="E77" s="9" t="s">
        <v>64</v>
      </c>
      <c r="F77" s="8" t="s">
        <v>31</v>
      </c>
      <c r="G77" s="8"/>
      <c r="H77" s="8"/>
      <c r="I77" s="9" t="s">
        <v>33</v>
      </c>
      <c r="J77" s="8" t="s">
        <v>152</v>
      </c>
      <c r="K77" s="10" t="s">
        <v>118</v>
      </c>
      <c r="L77" s="9" t="s">
        <v>153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8">
        <v>76.0</v>
      </c>
      <c r="B78" s="8" t="s">
        <v>172</v>
      </c>
      <c r="C78" s="9" t="s">
        <v>24</v>
      </c>
      <c r="D78" s="8" t="s">
        <v>24</v>
      </c>
      <c r="E78" s="9" t="s">
        <v>64</v>
      </c>
      <c r="F78" s="8" t="s">
        <v>31</v>
      </c>
      <c r="G78" s="8"/>
      <c r="H78" s="8"/>
      <c r="I78" s="9" t="s">
        <v>33</v>
      </c>
      <c r="J78" s="8" t="s">
        <v>152</v>
      </c>
      <c r="K78" s="10" t="s">
        <v>118</v>
      </c>
      <c r="L78" s="9" t="s">
        <v>153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8">
        <v>77.0</v>
      </c>
      <c r="B79" s="8" t="s">
        <v>173</v>
      </c>
      <c r="C79" s="9" t="s">
        <v>24</v>
      </c>
      <c r="D79" s="8" t="s">
        <v>24</v>
      </c>
      <c r="E79" s="9" t="s">
        <v>64</v>
      </c>
      <c r="F79" s="8" t="s">
        <v>31</v>
      </c>
      <c r="G79" s="8"/>
      <c r="H79" s="8"/>
      <c r="I79" s="9" t="s">
        <v>33</v>
      </c>
      <c r="J79" s="8" t="s">
        <v>152</v>
      </c>
      <c r="K79" s="10" t="s">
        <v>118</v>
      </c>
      <c r="L79" s="9" t="s">
        <v>153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8">
        <v>78.0</v>
      </c>
      <c r="B80" s="8" t="s">
        <v>174</v>
      </c>
      <c r="C80" s="9" t="s">
        <v>24</v>
      </c>
      <c r="D80" s="8" t="s">
        <v>24</v>
      </c>
      <c r="E80" s="9" t="s">
        <v>64</v>
      </c>
      <c r="F80" s="8" t="s">
        <v>31</v>
      </c>
      <c r="G80" s="8"/>
      <c r="H80" s="8"/>
      <c r="I80" s="9" t="s">
        <v>33</v>
      </c>
      <c r="J80" s="8" t="s">
        <v>152</v>
      </c>
      <c r="K80" s="10" t="s">
        <v>118</v>
      </c>
      <c r="L80" s="9" t="s">
        <v>153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8">
        <v>79.0</v>
      </c>
      <c r="B81" s="8" t="s">
        <v>175</v>
      </c>
      <c r="C81" s="9" t="s">
        <v>24</v>
      </c>
      <c r="D81" s="8" t="s">
        <v>24</v>
      </c>
      <c r="E81" s="9" t="s">
        <v>64</v>
      </c>
      <c r="F81" s="8" t="s">
        <v>31</v>
      </c>
      <c r="G81" s="8"/>
      <c r="H81" s="8"/>
      <c r="I81" s="9" t="s">
        <v>33</v>
      </c>
      <c r="J81" s="8" t="s">
        <v>152</v>
      </c>
      <c r="K81" s="10" t="s">
        <v>118</v>
      </c>
      <c r="L81" s="9" t="s">
        <v>153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8">
        <v>80.0</v>
      </c>
      <c r="B82" s="8" t="s">
        <v>177</v>
      </c>
      <c r="C82" s="9" t="s">
        <v>24</v>
      </c>
      <c r="D82" s="8" t="s">
        <v>24</v>
      </c>
      <c r="E82" s="9" t="s">
        <v>64</v>
      </c>
      <c r="F82" s="8" t="s">
        <v>31</v>
      </c>
      <c r="G82" s="8"/>
      <c r="H82" s="8"/>
      <c r="I82" s="9" t="s">
        <v>33</v>
      </c>
      <c r="J82" s="8" t="s">
        <v>152</v>
      </c>
      <c r="K82" s="10" t="s">
        <v>118</v>
      </c>
      <c r="L82" s="9" t="s">
        <v>153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8">
        <v>81.0</v>
      </c>
      <c r="B83" s="8" t="s">
        <v>178</v>
      </c>
      <c r="C83" s="9" t="s">
        <v>24</v>
      </c>
      <c r="D83" s="8" t="s">
        <v>24</v>
      </c>
      <c r="E83" s="9" t="s">
        <v>64</v>
      </c>
      <c r="F83" s="8" t="s">
        <v>31</v>
      </c>
      <c r="G83" s="8"/>
      <c r="H83" s="8"/>
      <c r="I83" s="9" t="s">
        <v>33</v>
      </c>
      <c r="J83" s="8" t="s">
        <v>152</v>
      </c>
      <c r="K83" s="10" t="s">
        <v>118</v>
      </c>
      <c r="L83" s="9" t="s">
        <v>153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8">
        <v>82.0</v>
      </c>
      <c r="B84" s="8" t="s">
        <v>184</v>
      </c>
      <c r="C84" s="9" t="s">
        <v>24</v>
      </c>
      <c r="D84" s="8" t="s">
        <v>24</v>
      </c>
      <c r="E84" s="9" t="s">
        <v>29</v>
      </c>
      <c r="F84" s="8" t="s">
        <v>31</v>
      </c>
      <c r="G84" s="8"/>
      <c r="H84" s="8"/>
      <c r="I84" s="9" t="s">
        <v>33</v>
      </c>
      <c r="J84" s="8" t="s">
        <v>185</v>
      </c>
      <c r="K84" s="10" t="s">
        <v>36</v>
      </c>
      <c r="L84" s="9" t="s">
        <v>163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8">
        <v>83.0</v>
      </c>
      <c r="B85" s="8" t="s">
        <v>186</v>
      </c>
      <c r="C85" s="9" t="s">
        <v>24</v>
      </c>
      <c r="D85" s="8" t="s">
        <v>24</v>
      </c>
      <c r="E85" s="9" t="s">
        <v>29</v>
      </c>
      <c r="F85" s="8" t="s">
        <v>31</v>
      </c>
      <c r="G85" s="8"/>
      <c r="H85" s="8"/>
      <c r="I85" s="9" t="s">
        <v>33</v>
      </c>
      <c r="J85" s="8" t="s">
        <v>185</v>
      </c>
      <c r="K85" s="10" t="s">
        <v>36</v>
      </c>
      <c r="L85" s="9" t="s">
        <v>41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8">
        <v>84.0</v>
      </c>
      <c r="B86" s="8" t="s">
        <v>187</v>
      </c>
      <c r="C86" s="9" t="s">
        <v>24</v>
      </c>
      <c r="D86" s="8" t="s">
        <v>24</v>
      </c>
      <c r="E86" s="9" t="s">
        <v>188</v>
      </c>
      <c r="F86" s="8" t="s">
        <v>31</v>
      </c>
      <c r="G86" s="8"/>
      <c r="H86" s="8"/>
      <c r="I86" s="9" t="s">
        <v>33</v>
      </c>
      <c r="J86" s="8" t="s">
        <v>185</v>
      </c>
      <c r="K86" s="10" t="s">
        <v>36</v>
      </c>
      <c r="L86" s="9" t="s">
        <v>176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8">
        <v>85.0</v>
      </c>
      <c r="B87" s="8" t="s">
        <v>189</v>
      </c>
      <c r="C87" s="9" t="s">
        <v>24</v>
      </c>
      <c r="D87" s="8" t="s">
        <v>24</v>
      </c>
      <c r="E87" s="9" t="s">
        <v>29</v>
      </c>
      <c r="F87" s="8" t="s">
        <v>31</v>
      </c>
      <c r="G87" s="8"/>
      <c r="H87" s="8"/>
      <c r="I87" s="9" t="s">
        <v>33</v>
      </c>
      <c r="J87" s="8" t="s">
        <v>185</v>
      </c>
      <c r="K87" s="10" t="s">
        <v>36</v>
      </c>
      <c r="L87" s="18" t="s">
        <v>190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8">
        <v>86.0</v>
      </c>
      <c r="B88" s="8" t="s">
        <v>191</v>
      </c>
      <c r="C88" s="9" t="s">
        <v>24</v>
      </c>
      <c r="D88" s="8" t="s">
        <v>24</v>
      </c>
      <c r="E88" s="9" t="s">
        <v>29</v>
      </c>
      <c r="F88" s="8" t="s">
        <v>31</v>
      </c>
      <c r="G88" s="8"/>
      <c r="H88" s="8"/>
      <c r="I88" s="9" t="s">
        <v>33</v>
      </c>
      <c r="J88" s="8" t="s">
        <v>185</v>
      </c>
      <c r="K88" s="10" t="s">
        <v>36</v>
      </c>
      <c r="L88" s="9" t="s">
        <v>41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8">
        <v>87.0</v>
      </c>
      <c r="B89" s="8" t="s">
        <v>193</v>
      </c>
      <c r="C89" s="9" t="s">
        <v>24</v>
      </c>
      <c r="D89" s="8" t="s">
        <v>24</v>
      </c>
      <c r="E89" s="9" t="s">
        <v>29</v>
      </c>
      <c r="F89" s="8" t="s">
        <v>31</v>
      </c>
      <c r="G89" s="8"/>
      <c r="H89" s="8"/>
      <c r="I89" s="9" t="s">
        <v>33</v>
      </c>
      <c r="J89" s="8" t="s">
        <v>185</v>
      </c>
      <c r="K89" s="10" t="s">
        <v>36</v>
      </c>
      <c r="L89" s="9" t="s">
        <v>179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8">
        <v>88.0</v>
      </c>
      <c r="B90" s="8" t="s">
        <v>184</v>
      </c>
      <c r="C90" s="9" t="s">
        <v>24</v>
      </c>
      <c r="D90" s="8" t="s">
        <v>24</v>
      </c>
      <c r="E90" s="9" t="s">
        <v>29</v>
      </c>
      <c r="F90" s="8" t="s">
        <v>31</v>
      </c>
      <c r="G90" s="8"/>
      <c r="H90" s="8"/>
      <c r="I90" s="9" t="s">
        <v>33</v>
      </c>
      <c r="J90" s="8" t="s">
        <v>185</v>
      </c>
      <c r="K90" s="10" t="s">
        <v>92</v>
      </c>
      <c r="L90" s="9" t="s">
        <v>163</v>
      </c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8">
        <v>89.0</v>
      </c>
      <c r="B91" s="8" t="s">
        <v>186</v>
      </c>
      <c r="C91" s="9" t="s">
        <v>24</v>
      </c>
      <c r="D91" s="8" t="s">
        <v>24</v>
      </c>
      <c r="E91" s="9" t="s">
        <v>29</v>
      </c>
      <c r="F91" s="8" t="s">
        <v>31</v>
      </c>
      <c r="G91" s="8"/>
      <c r="H91" s="8"/>
      <c r="I91" s="9" t="s">
        <v>33</v>
      </c>
      <c r="J91" s="8" t="s">
        <v>185</v>
      </c>
      <c r="K91" s="10" t="s">
        <v>92</v>
      </c>
      <c r="L91" s="9" t="s">
        <v>41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8">
        <v>90.0</v>
      </c>
      <c r="B92" s="8" t="s">
        <v>187</v>
      </c>
      <c r="C92" s="9" t="s">
        <v>24</v>
      </c>
      <c r="D92" s="8" t="s">
        <v>24</v>
      </c>
      <c r="E92" s="9" t="s">
        <v>188</v>
      </c>
      <c r="F92" s="8" t="s">
        <v>31</v>
      </c>
      <c r="G92" s="8"/>
      <c r="H92" s="8"/>
      <c r="I92" s="9" t="s">
        <v>33</v>
      </c>
      <c r="J92" s="8" t="s">
        <v>185</v>
      </c>
      <c r="K92" s="10" t="s">
        <v>92</v>
      </c>
      <c r="L92" s="9" t="s">
        <v>176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8">
        <v>91.0</v>
      </c>
      <c r="B93" s="8" t="s">
        <v>189</v>
      </c>
      <c r="C93" s="9" t="s">
        <v>24</v>
      </c>
      <c r="D93" s="8" t="s">
        <v>24</v>
      </c>
      <c r="E93" s="9" t="s">
        <v>29</v>
      </c>
      <c r="F93" s="8" t="s">
        <v>31</v>
      </c>
      <c r="G93" s="8"/>
      <c r="H93" s="8"/>
      <c r="I93" s="9" t="s">
        <v>33</v>
      </c>
      <c r="J93" s="8" t="s">
        <v>185</v>
      </c>
      <c r="K93" s="10" t="s">
        <v>92</v>
      </c>
      <c r="L93" s="18" t="s">
        <v>190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8">
        <v>92.0</v>
      </c>
      <c r="B94" s="8" t="s">
        <v>191</v>
      </c>
      <c r="C94" s="9" t="s">
        <v>24</v>
      </c>
      <c r="D94" s="8" t="s">
        <v>24</v>
      </c>
      <c r="E94" s="9" t="s">
        <v>29</v>
      </c>
      <c r="F94" s="8" t="s">
        <v>31</v>
      </c>
      <c r="G94" s="8"/>
      <c r="H94" s="8"/>
      <c r="I94" s="9" t="s">
        <v>33</v>
      </c>
      <c r="J94" s="8" t="s">
        <v>185</v>
      </c>
      <c r="K94" s="10" t="s">
        <v>92</v>
      </c>
      <c r="L94" s="9" t="s">
        <v>41</v>
      </c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8">
        <v>93.0</v>
      </c>
      <c r="B95" s="8" t="s">
        <v>193</v>
      </c>
      <c r="C95" s="9" t="s">
        <v>24</v>
      </c>
      <c r="D95" s="8" t="s">
        <v>24</v>
      </c>
      <c r="E95" s="9" t="s">
        <v>29</v>
      </c>
      <c r="F95" s="8" t="s">
        <v>31</v>
      </c>
      <c r="G95" s="8"/>
      <c r="H95" s="8"/>
      <c r="I95" s="9" t="s">
        <v>33</v>
      </c>
      <c r="J95" s="8" t="s">
        <v>185</v>
      </c>
      <c r="K95" s="10" t="s">
        <v>92</v>
      </c>
      <c r="L95" s="9" t="s">
        <v>179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8">
        <v>94.0</v>
      </c>
      <c r="B96" s="8" t="s">
        <v>184</v>
      </c>
      <c r="C96" s="9" t="s">
        <v>24</v>
      </c>
      <c r="D96" s="8" t="s">
        <v>24</v>
      </c>
      <c r="E96" s="9" t="s">
        <v>29</v>
      </c>
      <c r="F96" s="8" t="s">
        <v>31</v>
      </c>
      <c r="G96" s="8"/>
      <c r="H96" s="8"/>
      <c r="I96" s="9" t="s">
        <v>33</v>
      </c>
      <c r="J96" s="8" t="s">
        <v>185</v>
      </c>
      <c r="K96" s="10" t="s">
        <v>118</v>
      </c>
      <c r="L96" s="9" t="s">
        <v>163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8">
        <v>95.0</v>
      </c>
      <c r="B97" s="8" t="s">
        <v>186</v>
      </c>
      <c r="C97" s="9" t="s">
        <v>24</v>
      </c>
      <c r="D97" s="8" t="s">
        <v>24</v>
      </c>
      <c r="E97" s="9" t="s">
        <v>29</v>
      </c>
      <c r="F97" s="8" t="s">
        <v>31</v>
      </c>
      <c r="G97" s="8"/>
      <c r="H97" s="8"/>
      <c r="I97" s="9" t="s">
        <v>33</v>
      </c>
      <c r="J97" s="8" t="s">
        <v>185</v>
      </c>
      <c r="K97" s="10" t="s">
        <v>118</v>
      </c>
      <c r="L97" s="9" t="s">
        <v>41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8">
        <v>96.0</v>
      </c>
      <c r="B98" s="8" t="s">
        <v>187</v>
      </c>
      <c r="C98" s="9" t="s">
        <v>24</v>
      </c>
      <c r="D98" s="8" t="s">
        <v>24</v>
      </c>
      <c r="E98" s="9" t="s">
        <v>188</v>
      </c>
      <c r="F98" s="8" t="s">
        <v>31</v>
      </c>
      <c r="G98" s="8"/>
      <c r="H98" s="8"/>
      <c r="I98" s="9" t="s">
        <v>33</v>
      </c>
      <c r="J98" s="8" t="s">
        <v>185</v>
      </c>
      <c r="K98" s="10" t="s">
        <v>118</v>
      </c>
      <c r="L98" s="9" t="s">
        <v>176</v>
      </c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8">
        <v>97.0</v>
      </c>
      <c r="B99" s="8" t="s">
        <v>189</v>
      </c>
      <c r="C99" s="9" t="s">
        <v>24</v>
      </c>
      <c r="D99" s="8" t="s">
        <v>24</v>
      </c>
      <c r="E99" s="9" t="s">
        <v>29</v>
      </c>
      <c r="F99" s="8" t="s">
        <v>31</v>
      </c>
      <c r="G99" s="8"/>
      <c r="H99" s="8"/>
      <c r="I99" s="9" t="s">
        <v>33</v>
      </c>
      <c r="J99" s="8" t="s">
        <v>185</v>
      </c>
      <c r="K99" s="10" t="s">
        <v>118</v>
      </c>
      <c r="L99" s="18" t="s">
        <v>190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8">
        <v>98.0</v>
      </c>
      <c r="B100" s="8" t="s">
        <v>191</v>
      </c>
      <c r="C100" s="9" t="s">
        <v>24</v>
      </c>
      <c r="D100" s="8" t="s">
        <v>24</v>
      </c>
      <c r="E100" s="9" t="s">
        <v>29</v>
      </c>
      <c r="F100" s="8" t="s">
        <v>31</v>
      </c>
      <c r="G100" s="8"/>
      <c r="H100" s="8"/>
      <c r="I100" s="9" t="s">
        <v>33</v>
      </c>
      <c r="J100" s="8" t="s">
        <v>185</v>
      </c>
      <c r="K100" s="10" t="s">
        <v>118</v>
      </c>
      <c r="L100" s="9" t="s">
        <v>41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8">
        <v>99.0</v>
      </c>
      <c r="B101" s="8" t="s">
        <v>193</v>
      </c>
      <c r="C101" s="9" t="s">
        <v>24</v>
      </c>
      <c r="D101" s="8" t="s">
        <v>24</v>
      </c>
      <c r="E101" s="9" t="s">
        <v>29</v>
      </c>
      <c r="F101" s="8" t="s">
        <v>31</v>
      </c>
      <c r="G101" s="8"/>
      <c r="H101" s="8"/>
      <c r="I101" s="9" t="s">
        <v>33</v>
      </c>
      <c r="J101" s="8" t="s">
        <v>185</v>
      </c>
      <c r="K101" s="10" t="s">
        <v>118</v>
      </c>
      <c r="L101" s="9" t="s">
        <v>179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8">
        <v>100.0</v>
      </c>
      <c r="B102" s="8" t="s">
        <v>196</v>
      </c>
      <c r="C102" s="9" t="s">
        <v>24</v>
      </c>
      <c r="D102" s="8" t="s">
        <v>24</v>
      </c>
      <c r="E102" s="9" t="s">
        <v>197</v>
      </c>
      <c r="F102" s="8" t="s">
        <v>31</v>
      </c>
      <c r="G102" s="8"/>
      <c r="H102" s="8"/>
      <c r="I102" s="9" t="s">
        <v>33</v>
      </c>
      <c r="J102" s="8" t="s">
        <v>198</v>
      </c>
      <c r="K102" s="10" t="s">
        <v>36</v>
      </c>
      <c r="L102" s="9" t="s">
        <v>181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8">
        <v>101.0</v>
      </c>
      <c r="B103" s="8" t="s">
        <v>199</v>
      </c>
      <c r="C103" s="9" t="s">
        <v>24</v>
      </c>
      <c r="D103" s="8" t="s">
        <v>24</v>
      </c>
      <c r="E103" s="9" t="s">
        <v>197</v>
      </c>
      <c r="F103" s="8" t="s">
        <v>31</v>
      </c>
      <c r="G103" s="8"/>
      <c r="H103" s="8"/>
      <c r="I103" s="9" t="s">
        <v>33</v>
      </c>
      <c r="J103" s="8" t="s">
        <v>198</v>
      </c>
      <c r="K103" s="10" t="s">
        <v>36</v>
      </c>
      <c r="L103" s="9" t="s">
        <v>181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8">
        <v>102.0</v>
      </c>
      <c r="B104" s="8" t="s">
        <v>200</v>
      </c>
      <c r="C104" s="9" t="s">
        <v>24</v>
      </c>
      <c r="D104" s="8" t="s">
        <v>24</v>
      </c>
      <c r="E104" s="9" t="s">
        <v>197</v>
      </c>
      <c r="F104" s="8" t="s">
        <v>31</v>
      </c>
      <c r="G104" s="8"/>
      <c r="H104" s="8"/>
      <c r="I104" s="9" t="s">
        <v>33</v>
      </c>
      <c r="J104" s="8" t="s">
        <v>198</v>
      </c>
      <c r="K104" s="10" t="s">
        <v>36</v>
      </c>
      <c r="L104" s="9" t="s">
        <v>181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8">
        <v>103.0</v>
      </c>
      <c r="B105" s="8" t="s">
        <v>201</v>
      </c>
      <c r="C105" s="9" t="s">
        <v>24</v>
      </c>
      <c r="D105" s="8" t="s">
        <v>24</v>
      </c>
      <c r="E105" s="9" t="s">
        <v>197</v>
      </c>
      <c r="F105" s="8" t="s">
        <v>31</v>
      </c>
      <c r="G105" s="8"/>
      <c r="H105" s="8"/>
      <c r="I105" s="9" t="s">
        <v>33</v>
      </c>
      <c r="J105" s="8" t="s">
        <v>198</v>
      </c>
      <c r="K105" s="10" t="s">
        <v>36</v>
      </c>
      <c r="L105" s="9" t="s">
        <v>181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8">
        <v>104.0</v>
      </c>
      <c r="B106" s="8" t="s">
        <v>202</v>
      </c>
      <c r="C106" s="9" t="s">
        <v>24</v>
      </c>
      <c r="D106" s="8" t="s">
        <v>24</v>
      </c>
      <c r="E106" s="9" t="s">
        <v>197</v>
      </c>
      <c r="F106" s="8" t="s">
        <v>31</v>
      </c>
      <c r="G106" s="8"/>
      <c r="H106" s="8"/>
      <c r="I106" s="9" t="s">
        <v>33</v>
      </c>
      <c r="J106" s="8" t="s">
        <v>198</v>
      </c>
      <c r="K106" s="10" t="s">
        <v>36</v>
      </c>
      <c r="L106" s="9" t="s">
        <v>181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8">
        <v>105.0</v>
      </c>
      <c r="B107" s="8" t="s">
        <v>196</v>
      </c>
      <c r="C107" s="9" t="s">
        <v>24</v>
      </c>
      <c r="D107" s="8" t="s">
        <v>24</v>
      </c>
      <c r="E107" s="9" t="s">
        <v>197</v>
      </c>
      <c r="F107" s="8" t="s">
        <v>31</v>
      </c>
      <c r="G107" s="8"/>
      <c r="H107" s="8"/>
      <c r="I107" s="9" t="s">
        <v>33</v>
      </c>
      <c r="J107" s="8" t="s">
        <v>198</v>
      </c>
      <c r="K107" s="10" t="s">
        <v>92</v>
      </c>
      <c r="L107" s="9" t="s">
        <v>181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8">
        <v>106.0</v>
      </c>
      <c r="B108" s="8" t="s">
        <v>199</v>
      </c>
      <c r="C108" s="9" t="s">
        <v>24</v>
      </c>
      <c r="D108" s="8" t="s">
        <v>24</v>
      </c>
      <c r="E108" s="9" t="s">
        <v>197</v>
      </c>
      <c r="F108" s="8" t="s">
        <v>31</v>
      </c>
      <c r="G108" s="8"/>
      <c r="H108" s="8"/>
      <c r="I108" s="9" t="s">
        <v>33</v>
      </c>
      <c r="J108" s="8" t="s">
        <v>198</v>
      </c>
      <c r="K108" s="10" t="s">
        <v>92</v>
      </c>
      <c r="L108" s="9" t="s">
        <v>181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8">
        <v>107.0</v>
      </c>
      <c r="B109" s="8" t="s">
        <v>200</v>
      </c>
      <c r="C109" s="9" t="s">
        <v>24</v>
      </c>
      <c r="D109" s="8" t="s">
        <v>24</v>
      </c>
      <c r="E109" s="9" t="s">
        <v>197</v>
      </c>
      <c r="F109" s="8" t="s">
        <v>31</v>
      </c>
      <c r="G109" s="8"/>
      <c r="H109" s="8"/>
      <c r="I109" s="9" t="s">
        <v>33</v>
      </c>
      <c r="J109" s="8" t="s">
        <v>198</v>
      </c>
      <c r="K109" s="10" t="s">
        <v>92</v>
      </c>
      <c r="L109" s="9" t="s">
        <v>181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8">
        <v>108.0</v>
      </c>
      <c r="B110" s="8" t="s">
        <v>201</v>
      </c>
      <c r="C110" s="9" t="s">
        <v>24</v>
      </c>
      <c r="D110" s="8" t="s">
        <v>24</v>
      </c>
      <c r="E110" s="9" t="s">
        <v>197</v>
      </c>
      <c r="F110" s="8" t="s">
        <v>31</v>
      </c>
      <c r="G110" s="8"/>
      <c r="H110" s="8"/>
      <c r="I110" s="9" t="s">
        <v>33</v>
      </c>
      <c r="J110" s="8" t="s">
        <v>198</v>
      </c>
      <c r="K110" s="10" t="s">
        <v>92</v>
      </c>
      <c r="L110" s="9" t="s">
        <v>181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8">
        <v>109.0</v>
      </c>
      <c r="B111" s="8" t="s">
        <v>202</v>
      </c>
      <c r="C111" s="9" t="s">
        <v>24</v>
      </c>
      <c r="D111" s="8" t="s">
        <v>24</v>
      </c>
      <c r="E111" s="9" t="s">
        <v>197</v>
      </c>
      <c r="F111" s="8" t="s">
        <v>31</v>
      </c>
      <c r="G111" s="8"/>
      <c r="H111" s="8"/>
      <c r="I111" s="9" t="s">
        <v>33</v>
      </c>
      <c r="J111" s="8" t="s">
        <v>198</v>
      </c>
      <c r="K111" s="10" t="s">
        <v>92</v>
      </c>
      <c r="L111" s="9" t="s">
        <v>181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8">
        <v>110.0</v>
      </c>
      <c r="B112" s="8" t="s">
        <v>196</v>
      </c>
      <c r="C112" s="9" t="s">
        <v>24</v>
      </c>
      <c r="D112" s="8" t="s">
        <v>24</v>
      </c>
      <c r="E112" s="9" t="s">
        <v>197</v>
      </c>
      <c r="F112" s="8" t="s">
        <v>31</v>
      </c>
      <c r="G112" s="8"/>
      <c r="H112" s="8"/>
      <c r="I112" s="9" t="s">
        <v>33</v>
      </c>
      <c r="J112" s="8" t="s">
        <v>198</v>
      </c>
      <c r="K112" s="10" t="s">
        <v>118</v>
      </c>
      <c r="L112" s="9" t="s">
        <v>181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8">
        <v>111.0</v>
      </c>
      <c r="B113" s="8" t="s">
        <v>199</v>
      </c>
      <c r="C113" s="9" t="s">
        <v>24</v>
      </c>
      <c r="D113" s="8" t="s">
        <v>24</v>
      </c>
      <c r="E113" s="9" t="s">
        <v>197</v>
      </c>
      <c r="F113" s="8" t="s">
        <v>31</v>
      </c>
      <c r="G113" s="8"/>
      <c r="H113" s="8"/>
      <c r="I113" s="9" t="s">
        <v>33</v>
      </c>
      <c r="J113" s="8" t="s">
        <v>198</v>
      </c>
      <c r="K113" s="10" t="s">
        <v>118</v>
      </c>
      <c r="L113" s="9" t="s">
        <v>181</v>
      </c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8">
        <v>112.0</v>
      </c>
      <c r="B114" s="8" t="s">
        <v>200</v>
      </c>
      <c r="C114" s="9" t="s">
        <v>24</v>
      </c>
      <c r="D114" s="8" t="s">
        <v>24</v>
      </c>
      <c r="E114" s="9" t="s">
        <v>197</v>
      </c>
      <c r="F114" s="8" t="s">
        <v>31</v>
      </c>
      <c r="G114" s="8"/>
      <c r="H114" s="8"/>
      <c r="I114" s="9" t="s">
        <v>33</v>
      </c>
      <c r="J114" s="8" t="s">
        <v>198</v>
      </c>
      <c r="K114" s="10" t="s">
        <v>118</v>
      </c>
      <c r="L114" s="9" t="s">
        <v>181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8">
        <v>113.0</v>
      </c>
      <c r="B115" s="8" t="s">
        <v>201</v>
      </c>
      <c r="C115" s="9" t="s">
        <v>24</v>
      </c>
      <c r="D115" s="8" t="s">
        <v>24</v>
      </c>
      <c r="E115" s="9" t="s">
        <v>197</v>
      </c>
      <c r="F115" s="8" t="s">
        <v>31</v>
      </c>
      <c r="G115" s="8"/>
      <c r="H115" s="8"/>
      <c r="I115" s="9" t="s">
        <v>33</v>
      </c>
      <c r="J115" s="8" t="s">
        <v>198</v>
      </c>
      <c r="K115" s="10" t="s">
        <v>118</v>
      </c>
      <c r="L115" s="9" t="s">
        <v>181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8">
        <v>114.0</v>
      </c>
      <c r="B116" s="8" t="s">
        <v>202</v>
      </c>
      <c r="C116" s="9" t="s">
        <v>24</v>
      </c>
      <c r="D116" s="8" t="s">
        <v>24</v>
      </c>
      <c r="E116" s="9" t="s">
        <v>197</v>
      </c>
      <c r="F116" s="8" t="s">
        <v>31</v>
      </c>
      <c r="G116" s="8"/>
      <c r="H116" s="8"/>
      <c r="I116" s="9" t="s">
        <v>33</v>
      </c>
      <c r="J116" s="8" t="s">
        <v>198</v>
      </c>
      <c r="K116" s="10" t="s">
        <v>118</v>
      </c>
      <c r="L116" s="9" t="s">
        <v>181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8">
        <v>115.0</v>
      </c>
      <c r="B117" s="8" t="s">
        <v>203</v>
      </c>
      <c r="C117" s="9" t="s">
        <v>24</v>
      </c>
      <c r="D117" s="8" t="s">
        <v>24</v>
      </c>
      <c r="E117" s="9" t="s">
        <v>29</v>
      </c>
      <c r="F117" s="8" t="s">
        <v>31</v>
      </c>
      <c r="G117" s="8"/>
      <c r="H117" s="8"/>
      <c r="I117" s="9" t="s">
        <v>33</v>
      </c>
      <c r="J117" s="8" t="s">
        <v>204</v>
      </c>
      <c r="K117" s="10" t="s">
        <v>36</v>
      </c>
      <c r="L117" s="9" t="s">
        <v>41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8">
        <v>116.0</v>
      </c>
      <c r="B118" s="8" t="s">
        <v>205</v>
      </c>
      <c r="C118" s="9" t="s">
        <v>24</v>
      </c>
      <c r="D118" s="8" t="s">
        <v>24</v>
      </c>
      <c r="E118" s="9" t="s">
        <v>29</v>
      </c>
      <c r="F118" s="8" t="s">
        <v>31</v>
      </c>
      <c r="G118" s="8"/>
      <c r="H118" s="8"/>
      <c r="I118" s="9" t="s">
        <v>33</v>
      </c>
      <c r="J118" s="8" t="s">
        <v>204</v>
      </c>
      <c r="K118" s="10" t="s">
        <v>36</v>
      </c>
      <c r="L118" s="9" t="s">
        <v>41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8">
        <v>117.0</v>
      </c>
      <c r="B119" s="8" t="s">
        <v>206</v>
      </c>
      <c r="C119" s="9" t="s">
        <v>24</v>
      </c>
      <c r="D119" s="8" t="s">
        <v>24</v>
      </c>
      <c r="E119" s="9" t="s">
        <v>29</v>
      </c>
      <c r="F119" s="8" t="s">
        <v>31</v>
      </c>
      <c r="G119" s="8"/>
      <c r="H119" s="8"/>
      <c r="I119" s="9" t="s">
        <v>33</v>
      </c>
      <c r="J119" s="8" t="s">
        <v>204</v>
      </c>
      <c r="K119" s="10" t="s">
        <v>36</v>
      </c>
      <c r="L119" s="9" t="s">
        <v>41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8">
        <v>118.0</v>
      </c>
      <c r="B120" s="8" t="s">
        <v>207</v>
      </c>
      <c r="C120" s="9" t="s">
        <v>24</v>
      </c>
      <c r="D120" s="8" t="s">
        <v>24</v>
      </c>
      <c r="E120" s="9" t="s">
        <v>29</v>
      </c>
      <c r="F120" s="8" t="s">
        <v>31</v>
      </c>
      <c r="G120" s="8"/>
      <c r="H120" s="8"/>
      <c r="I120" s="9" t="s">
        <v>33</v>
      </c>
      <c r="J120" s="8" t="s">
        <v>204</v>
      </c>
      <c r="K120" s="10" t="s">
        <v>36</v>
      </c>
      <c r="L120" s="9" t="s">
        <v>41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8">
        <v>119.0</v>
      </c>
      <c r="B121" s="8" t="s">
        <v>203</v>
      </c>
      <c r="C121" s="9" t="s">
        <v>24</v>
      </c>
      <c r="D121" s="8" t="s">
        <v>24</v>
      </c>
      <c r="E121" s="9" t="s">
        <v>29</v>
      </c>
      <c r="F121" s="8" t="s">
        <v>31</v>
      </c>
      <c r="G121" s="8"/>
      <c r="H121" s="8"/>
      <c r="I121" s="9" t="s">
        <v>33</v>
      </c>
      <c r="J121" s="8" t="s">
        <v>204</v>
      </c>
      <c r="K121" s="10" t="s">
        <v>92</v>
      </c>
      <c r="L121" s="9" t="s">
        <v>41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8">
        <v>120.0</v>
      </c>
      <c r="B122" s="8" t="s">
        <v>205</v>
      </c>
      <c r="C122" s="9" t="s">
        <v>24</v>
      </c>
      <c r="D122" s="8" t="s">
        <v>24</v>
      </c>
      <c r="E122" s="9" t="s">
        <v>29</v>
      </c>
      <c r="F122" s="8" t="s">
        <v>31</v>
      </c>
      <c r="G122" s="8"/>
      <c r="H122" s="8"/>
      <c r="I122" s="9" t="s">
        <v>33</v>
      </c>
      <c r="J122" s="8" t="s">
        <v>204</v>
      </c>
      <c r="K122" s="10" t="s">
        <v>92</v>
      </c>
      <c r="L122" s="9" t="s">
        <v>41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8">
        <v>121.0</v>
      </c>
      <c r="B123" s="8" t="s">
        <v>206</v>
      </c>
      <c r="C123" s="9" t="s">
        <v>24</v>
      </c>
      <c r="D123" s="8" t="s">
        <v>24</v>
      </c>
      <c r="E123" s="9" t="s">
        <v>29</v>
      </c>
      <c r="F123" s="8" t="s">
        <v>31</v>
      </c>
      <c r="G123" s="8"/>
      <c r="H123" s="8"/>
      <c r="I123" s="9" t="s">
        <v>33</v>
      </c>
      <c r="J123" s="8" t="s">
        <v>204</v>
      </c>
      <c r="K123" s="10" t="s">
        <v>92</v>
      </c>
      <c r="L123" s="9" t="s">
        <v>41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8">
        <v>122.0</v>
      </c>
      <c r="B124" s="8" t="s">
        <v>207</v>
      </c>
      <c r="C124" s="9" t="s">
        <v>24</v>
      </c>
      <c r="D124" s="8" t="s">
        <v>24</v>
      </c>
      <c r="E124" s="9" t="s">
        <v>29</v>
      </c>
      <c r="F124" s="8" t="s">
        <v>31</v>
      </c>
      <c r="G124" s="8"/>
      <c r="H124" s="8"/>
      <c r="I124" s="9" t="s">
        <v>33</v>
      </c>
      <c r="J124" s="8" t="s">
        <v>204</v>
      </c>
      <c r="K124" s="10" t="s">
        <v>92</v>
      </c>
      <c r="L124" s="9" t="s">
        <v>41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8">
        <v>123.0</v>
      </c>
      <c r="B125" s="8" t="s">
        <v>203</v>
      </c>
      <c r="C125" s="9" t="s">
        <v>24</v>
      </c>
      <c r="D125" s="8" t="s">
        <v>24</v>
      </c>
      <c r="E125" s="9" t="s">
        <v>29</v>
      </c>
      <c r="F125" s="8" t="s">
        <v>31</v>
      </c>
      <c r="G125" s="8"/>
      <c r="H125" s="8"/>
      <c r="I125" s="9" t="s">
        <v>33</v>
      </c>
      <c r="J125" s="8" t="s">
        <v>204</v>
      </c>
      <c r="K125" s="10" t="s">
        <v>118</v>
      </c>
      <c r="L125" s="9" t="s">
        <v>41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8">
        <v>124.0</v>
      </c>
      <c r="B126" s="8" t="s">
        <v>205</v>
      </c>
      <c r="C126" s="9" t="s">
        <v>24</v>
      </c>
      <c r="D126" s="8" t="s">
        <v>24</v>
      </c>
      <c r="E126" s="9" t="s">
        <v>29</v>
      </c>
      <c r="F126" s="8" t="s">
        <v>31</v>
      </c>
      <c r="G126" s="8"/>
      <c r="H126" s="8"/>
      <c r="I126" s="9" t="s">
        <v>33</v>
      </c>
      <c r="J126" s="8" t="s">
        <v>204</v>
      </c>
      <c r="K126" s="10" t="s">
        <v>118</v>
      </c>
      <c r="L126" s="9" t="s">
        <v>41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8">
        <v>125.0</v>
      </c>
      <c r="B127" s="8" t="s">
        <v>206</v>
      </c>
      <c r="C127" s="9" t="s">
        <v>24</v>
      </c>
      <c r="D127" s="8" t="s">
        <v>24</v>
      </c>
      <c r="E127" s="9" t="s">
        <v>29</v>
      </c>
      <c r="F127" s="8" t="s">
        <v>31</v>
      </c>
      <c r="G127" s="8"/>
      <c r="H127" s="8"/>
      <c r="I127" s="9" t="s">
        <v>33</v>
      </c>
      <c r="J127" s="8" t="s">
        <v>204</v>
      </c>
      <c r="K127" s="10" t="s">
        <v>118</v>
      </c>
      <c r="L127" s="9" t="s">
        <v>41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8">
        <v>126.0</v>
      </c>
      <c r="B128" s="8" t="s">
        <v>207</v>
      </c>
      <c r="C128" s="9" t="s">
        <v>24</v>
      </c>
      <c r="D128" s="8" t="s">
        <v>24</v>
      </c>
      <c r="E128" s="9" t="s">
        <v>29</v>
      </c>
      <c r="F128" s="8" t="s">
        <v>31</v>
      </c>
      <c r="G128" s="8"/>
      <c r="H128" s="8"/>
      <c r="I128" s="9" t="s">
        <v>33</v>
      </c>
      <c r="J128" s="8" t="s">
        <v>204</v>
      </c>
      <c r="K128" s="10" t="s">
        <v>118</v>
      </c>
      <c r="L128" s="9" t="s">
        <v>41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8">
        <v>127.0</v>
      </c>
      <c r="B129" s="8" t="s">
        <v>208</v>
      </c>
      <c r="C129" s="9" t="s">
        <v>24</v>
      </c>
      <c r="D129" s="8" t="s">
        <v>24</v>
      </c>
      <c r="E129" s="9" t="s">
        <v>29</v>
      </c>
      <c r="F129" s="8" t="s">
        <v>31</v>
      </c>
      <c r="G129" s="8"/>
      <c r="H129" s="8"/>
      <c r="I129" s="9" t="s">
        <v>33</v>
      </c>
      <c r="J129" s="8" t="s">
        <v>209</v>
      </c>
      <c r="K129" s="10" t="s">
        <v>36</v>
      </c>
      <c r="L129" s="9" t="s">
        <v>41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8">
        <v>128.0</v>
      </c>
      <c r="B130" s="8" t="s">
        <v>210</v>
      </c>
      <c r="C130" s="9" t="s">
        <v>24</v>
      </c>
      <c r="D130" s="8" t="s">
        <v>24</v>
      </c>
      <c r="E130" s="9" t="s">
        <v>197</v>
      </c>
      <c r="F130" s="8" t="s">
        <v>31</v>
      </c>
      <c r="G130" s="8"/>
      <c r="H130" s="8"/>
      <c r="I130" s="9" t="s">
        <v>33</v>
      </c>
      <c r="J130" s="8" t="s">
        <v>209</v>
      </c>
      <c r="K130" s="10" t="s">
        <v>36</v>
      </c>
      <c r="L130" s="9" t="s">
        <v>181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8">
        <v>129.0</v>
      </c>
      <c r="B131" s="8" t="s">
        <v>211</v>
      </c>
      <c r="C131" s="9" t="s">
        <v>24</v>
      </c>
      <c r="D131" s="8" t="s">
        <v>24</v>
      </c>
      <c r="E131" s="9" t="s">
        <v>106</v>
      </c>
      <c r="F131" s="8" t="s">
        <v>31</v>
      </c>
      <c r="G131" s="8"/>
      <c r="H131" s="8"/>
      <c r="I131" s="9" t="s">
        <v>33</v>
      </c>
      <c r="J131" s="8" t="s">
        <v>209</v>
      </c>
      <c r="K131" s="10" t="s">
        <v>36</v>
      </c>
      <c r="L131" s="9" t="s">
        <v>182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8">
        <v>130.0</v>
      </c>
      <c r="B132" s="8" t="s">
        <v>208</v>
      </c>
      <c r="C132" s="9" t="s">
        <v>24</v>
      </c>
      <c r="D132" s="8" t="s">
        <v>24</v>
      </c>
      <c r="E132" s="9" t="s">
        <v>29</v>
      </c>
      <c r="F132" s="8" t="s">
        <v>31</v>
      </c>
      <c r="G132" s="8"/>
      <c r="H132" s="8"/>
      <c r="I132" s="9" t="s">
        <v>33</v>
      </c>
      <c r="J132" s="8" t="s">
        <v>209</v>
      </c>
      <c r="K132" s="10" t="s">
        <v>92</v>
      </c>
      <c r="L132" s="9" t="s">
        <v>41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8">
        <v>131.0</v>
      </c>
      <c r="B133" s="8" t="s">
        <v>210</v>
      </c>
      <c r="C133" s="9" t="s">
        <v>24</v>
      </c>
      <c r="D133" s="8" t="s">
        <v>24</v>
      </c>
      <c r="E133" s="9" t="s">
        <v>197</v>
      </c>
      <c r="F133" s="8" t="s">
        <v>31</v>
      </c>
      <c r="G133" s="8"/>
      <c r="H133" s="8"/>
      <c r="I133" s="9" t="s">
        <v>33</v>
      </c>
      <c r="J133" s="8" t="s">
        <v>209</v>
      </c>
      <c r="K133" s="10" t="s">
        <v>92</v>
      </c>
      <c r="L133" s="9" t="s">
        <v>181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8">
        <v>132.0</v>
      </c>
      <c r="B134" s="8" t="s">
        <v>211</v>
      </c>
      <c r="C134" s="9" t="s">
        <v>24</v>
      </c>
      <c r="D134" s="8" t="s">
        <v>24</v>
      </c>
      <c r="E134" s="9" t="s">
        <v>106</v>
      </c>
      <c r="F134" s="8" t="s">
        <v>31</v>
      </c>
      <c r="G134" s="8"/>
      <c r="H134" s="8"/>
      <c r="I134" s="9" t="s">
        <v>33</v>
      </c>
      <c r="J134" s="8" t="s">
        <v>209</v>
      </c>
      <c r="K134" s="10" t="s">
        <v>92</v>
      </c>
      <c r="L134" s="9" t="s">
        <v>182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8">
        <v>133.0</v>
      </c>
      <c r="B135" s="8" t="s">
        <v>210</v>
      </c>
      <c r="C135" s="9" t="s">
        <v>24</v>
      </c>
      <c r="D135" s="8" t="s">
        <v>24</v>
      </c>
      <c r="E135" s="9" t="s">
        <v>197</v>
      </c>
      <c r="F135" s="8" t="s">
        <v>31</v>
      </c>
      <c r="G135" s="8"/>
      <c r="H135" s="8"/>
      <c r="I135" s="9" t="s">
        <v>33</v>
      </c>
      <c r="J135" s="8" t="s">
        <v>209</v>
      </c>
      <c r="K135" s="10" t="s">
        <v>118</v>
      </c>
      <c r="L135" s="9" t="s">
        <v>181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8">
        <v>134.0</v>
      </c>
      <c r="B136" s="8" t="s">
        <v>212</v>
      </c>
      <c r="C136" s="9" t="s">
        <v>24</v>
      </c>
      <c r="D136" s="8" t="s">
        <v>24</v>
      </c>
      <c r="E136" s="9" t="s">
        <v>29</v>
      </c>
      <c r="F136" s="8" t="s">
        <v>31</v>
      </c>
      <c r="G136" s="8"/>
      <c r="H136" s="8"/>
      <c r="I136" s="9" t="s">
        <v>33</v>
      </c>
      <c r="J136" s="8" t="s">
        <v>209</v>
      </c>
      <c r="K136" s="10" t="s">
        <v>118</v>
      </c>
      <c r="L136" s="9" t="s">
        <v>41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8">
        <v>135.0</v>
      </c>
      <c r="B137" s="8" t="s">
        <v>211</v>
      </c>
      <c r="C137" s="9" t="s">
        <v>24</v>
      </c>
      <c r="D137" s="8" t="s">
        <v>24</v>
      </c>
      <c r="E137" s="9" t="s">
        <v>106</v>
      </c>
      <c r="F137" s="8" t="s">
        <v>31</v>
      </c>
      <c r="G137" s="8"/>
      <c r="H137" s="8"/>
      <c r="I137" s="9" t="s">
        <v>33</v>
      </c>
      <c r="J137" s="8" t="s">
        <v>209</v>
      </c>
      <c r="K137" s="10" t="s">
        <v>118</v>
      </c>
      <c r="L137" s="9" t="s">
        <v>182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8">
        <v>136.0</v>
      </c>
      <c r="B138" s="8" t="s">
        <v>213</v>
      </c>
      <c r="C138" s="9" t="s">
        <v>24</v>
      </c>
      <c r="D138" s="8" t="s">
        <v>24</v>
      </c>
      <c r="E138" s="9" t="s">
        <v>29</v>
      </c>
      <c r="F138" s="8" t="s">
        <v>31</v>
      </c>
      <c r="G138" s="8"/>
      <c r="H138" s="8"/>
      <c r="I138" s="9" t="s">
        <v>33</v>
      </c>
      <c r="J138" s="8" t="s">
        <v>214</v>
      </c>
      <c r="K138" s="10" t="s">
        <v>36</v>
      </c>
      <c r="L138" s="9" t="s">
        <v>41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8">
        <v>137.0</v>
      </c>
      <c r="B139" s="8" t="s">
        <v>215</v>
      </c>
      <c r="C139" s="9" t="s">
        <v>24</v>
      </c>
      <c r="D139" s="8" t="s">
        <v>24</v>
      </c>
      <c r="E139" s="9" t="s">
        <v>29</v>
      </c>
      <c r="F139" s="8" t="s">
        <v>31</v>
      </c>
      <c r="G139" s="8"/>
      <c r="H139" s="8"/>
      <c r="I139" s="9" t="s">
        <v>33</v>
      </c>
      <c r="J139" s="8" t="s">
        <v>214</v>
      </c>
      <c r="K139" s="10" t="s">
        <v>36</v>
      </c>
      <c r="L139" s="9" t="s">
        <v>41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8">
        <v>138.0</v>
      </c>
      <c r="B140" s="8" t="s">
        <v>216</v>
      </c>
      <c r="C140" s="9" t="s">
        <v>24</v>
      </c>
      <c r="D140" s="8" t="s">
        <v>24</v>
      </c>
      <c r="E140" s="9" t="s">
        <v>29</v>
      </c>
      <c r="F140" s="8" t="s">
        <v>31</v>
      </c>
      <c r="G140" s="8"/>
      <c r="H140" s="8"/>
      <c r="I140" s="9" t="s">
        <v>33</v>
      </c>
      <c r="J140" s="8" t="s">
        <v>214</v>
      </c>
      <c r="K140" s="10" t="s">
        <v>36</v>
      </c>
      <c r="L140" s="9" t="s">
        <v>41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8">
        <v>139.0</v>
      </c>
      <c r="B141" s="8" t="s">
        <v>213</v>
      </c>
      <c r="C141" s="9" t="s">
        <v>24</v>
      </c>
      <c r="D141" s="8" t="s">
        <v>24</v>
      </c>
      <c r="E141" s="9" t="s">
        <v>29</v>
      </c>
      <c r="F141" s="8" t="s">
        <v>31</v>
      </c>
      <c r="G141" s="8"/>
      <c r="H141" s="8"/>
      <c r="I141" s="9" t="s">
        <v>33</v>
      </c>
      <c r="J141" s="8" t="s">
        <v>214</v>
      </c>
      <c r="K141" s="10" t="s">
        <v>92</v>
      </c>
      <c r="L141" s="9" t="s">
        <v>41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8">
        <v>140.0</v>
      </c>
      <c r="B142" s="8" t="s">
        <v>217</v>
      </c>
      <c r="C142" s="9" t="s">
        <v>24</v>
      </c>
      <c r="D142" s="8" t="s">
        <v>24</v>
      </c>
      <c r="E142" s="9" t="s">
        <v>29</v>
      </c>
      <c r="F142" s="8" t="s">
        <v>31</v>
      </c>
      <c r="G142" s="8"/>
      <c r="H142" s="8"/>
      <c r="I142" s="9" t="s">
        <v>33</v>
      </c>
      <c r="J142" s="8" t="s">
        <v>214</v>
      </c>
      <c r="K142" s="10" t="s">
        <v>92</v>
      </c>
      <c r="L142" s="9" t="s">
        <v>41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8">
        <v>141.0</v>
      </c>
      <c r="B143" s="8" t="s">
        <v>216</v>
      </c>
      <c r="C143" s="9" t="s">
        <v>24</v>
      </c>
      <c r="D143" s="8" t="s">
        <v>24</v>
      </c>
      <c r="E143" s="9" t="s">
        <v>29</v>
      </c>
      <c r="F143" s="8" t="s">
        <v>31</v>
      </c>
      <c r="G143" s="8"/>
      <c r="H143" s="8"/>
      <c r="I143" s="9" t="s">
        <v>33</v>
      </c>
      <c r="J143" s="8" t="s">
        <v>214</v>
      </c>
      <c r="K143" s="10" t="s">
        <v>92</v>
      </c>
      <c r="L143" s="9" t="s">
        <v>41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8">
        <v>142.0</v>
      </c>
      <c r="B144" s="8" t="s">
        <v>213</v>
      </c>
      <c r="C144" s="9" t="s">
        <v>24</v>
      </c>
      <c r="D144" s="8" t="s">
        <v>24</v>
      </c>
      <c r="E144" s="9" t="s">
        <v>29</v>
      </c>
      <c r="F144" s="8" t="s">
        <v>31</v>
      </c>
      <c r="G144" s="8"/>
      <c r="H144" s="8"/>
      <c r="I144" s="9" t="s">
        <v>33</v>
      </c>
      <c r="J144" s="8" t="s">
        <v>214</v>
      </c>
      <c r="K144" s="10" t="s">
        <v>118</v>
      </c>
      <c r="L144" s="9" t="s">
        <v>41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8">
        <v>143.0</v>
      </c>
      <c r="B145" s="8" t="s">
        <v>217</v>
      </c>
      <c r="C145" s="9" t="s">
        <v>24</v>
      </c>
      <c r="D145" s="8" t="s">
        <v>24</v>
      </c>
      <c r="E145" s="9" t="s">
        <v>29</v>
      </c>
      <c r="F145" s="8" t="s">
        <v>31</v>
      </c>
      <c r="G145" s="8"/>
      <c r="H145" s="8"/>
      <c r="I145" s="9" t="s">
        <v>33</v>
      </c>
      <c r="J145" s="8" t="s">
        <v>214</v>
      </c>
      <c r="K145" s="10" t="s">
        <v>118</v>
      </c>
      <c r="L145" s="9" t="s">
        <v>41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8">
        <v>144.0</v>
      </c>
      <c r="B146" s="8" t="s">
        <v>216</v>
      </c>
      <c r="C146" s="9" t="s">
        <v>24</v>
      </c>
      <c r="D146" s="8" t="s">
        <v>24</v>
      </c>
      <c r="E146" s="9" t="s">
        <v>29</v>
      </c>
      <c r="F146" s="8" t="s">
        <v>31</v>
      </c>
      <c r="G146" s="8"/>
      <c r="H146" s="8"/>
      <c r="I146" s="9" t="s">
        <v>33</v>
      </c>
      <c r="J146" s="8" t="s">
        <v>214</v>
      </c>
      <c r="K146" s="10" t="s">
        <v>118</v>
      </c>
      <c r="L146" s="9" t="s">
        <v>41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8">
        <v>145.0</v>
      </c>
      <c r="B147" s="8" t="s">
        <v>218</v>
      </c>
      <c r="C147" s="9" t="s">
        <v>219</v>
      </c>
      <c r="D147" s="8" t="s">
        <v>219</v>
      </c>
      <c r="E147" s="9" t="s">
        <v>29</v>
      </c>
      <c r="F147" s="8" t="s">
        <v>31</v>
      </c>
      <c r="G147" s="8"/>
      <c r="H147" s="8"/>
      <c r="I147" s="9" t="s">
        <v>33</v>
      </c>
      <c r="J147" s="8" t="s">
        <v>220</v>
      </c>
      <c r="K147" s="10" t="s">
        <v>221</v>
      </c>
      <c r="L147" s="9" t="s">
        <v>41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8">
        <v>146.0</v>
      </c>
      <c r="B148" s="8" t="s">
        <v>222</v>
      </c>
      <c r="C148" s="9" t="s">
        <v>219</v>
      </c>
      <c r="D148" s="8" t="s">
        <v>219</v>
      </c>
      <c r="E148" s="9" t="s">
        <v>29</v>
      </c>
      <c r="F148" s="8" t="s">
        <v>31</v>
      </c>
      <c r="G148" s="8"/>
      <c r="H148" s="8"/>
      <c r="I148" s="9" t="s">
        <v>33</v>
      </c>
      <c r="J148" s="8" t="s">
        <v>223</v>
      </c>
      <c r="K148" s="10" t="s">
        <v>92</v>
      </c>
      <c r="L148" s="9" t="s">
        <v>41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8">
        <v>147.0</v>
      </c>
      <c r="B149" s="8" t="s">
        <v>224</v>
      </c>
      <c r="C149" s="9" t="s">
        <v>219</v>
      </c>
      <c r="D149" s="8" t="s">
        <v>219</v>
      </c>
      <c r="E149" s="9" t="s">
        <v>64</v>
      </c>
      <c r="F149" s="8" t="s">
        <v>31</v>
      </c>
      <c r="G149" s="8"/>
      <c r="H149" s="8"/>
      <c r="I149" s="9" t="s">
        <v>33</v>
      </c>
      <c r="J149" s="8" t="s">
        <v>225</v>
      </c>
      <c r="K149" s="10" t="s">
        <v>221</v>
      </c>
      <c r="L149" s="9" t="s">
        <v>153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8">
        <v>148.0</v>
      </c>
      <c r="B150" s="8" t="s">
        <v>226</v>
      </c>
      <c r="C150" s="9" t="s">
        <v>219</v>
      </c>
      <c r="D150" s="8" t="s">
        <v>219</v>
      </c>
      <c r="E150" s="9" t="s">
        <v>29</v>
      </c>
      <c r="F150" s="8" t="s">
        <v>31</v>
      </c>
      <c r="G150" s="8"/>
      <c r="H150" s="8"/>
      <c r="I150" s="9" t="s">
        <v>33</v>
      </c>
      <c r="J150" s="8" t="s">
        <v>227</v>
      </c>
      <c r="K150" s="10" t="s">
        <v>228</v>
      </c>
      <c r="L150" s="18" t="s">
        <v>229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8">
        <v>149.0</v>
      </c>
      <c r="B151" s="8" t="s">
        <v>230</v>
      </c>
      <c r="C151" s="9" t="s">
        <v>219</v>
      </c>
      <c r="D151" s="8" t="s">
        <v>219</v>
      </c>
      <c r="E151" s="9" t="s">
        <v>29</v>
      </c>
      <c r="F151" s="8" t="s">
        <v>31</v>
      </c>
      <c r="G151" s="8"/>
      <c r="H151" s="8"/>
      <c r="I151" s="9" t="s">
        <v>33</v>
      </c>
      <c r="J151" s="8" t="s">
        <v>227</v>
      </c>
      <c r="K151" s="10" t="s">
        <v>231</v>
      </c>
      <c r="L151" s="18" t="s">
        <v>229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8">
        <v>150.0</v>
      </c>
      <c r="B152" s="8" t="s">
        <v>232</v>
      </c>
      <c r="C152" s="9" t="s">
        <v>219</v>
      </c>
      <c r="D152" s="8" t="s">
        <v>219</v>
      </c>
      <c r="E152" s="9" t="s">
        <v>197</v>
      </c>
      <c r="F152" s="8" t="s">
        <v>31</v>
      </c>
      <c r="G152" s="8"/>
      <c r="H152" s="8"/>
      <c r="I152" s="9" t="s">
        <v>33</v>
      </c>
      <c r="J152" s="8" t="s">
        <v>233</v>
      </c>
      <c r="K152" s="10" t="s">
        <v>228</v>
      </c>
      <c r="L152" s="9" t="s">
        <v>181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8">
        <v>151.0</v>
      </c>
      <c r="B153" s="8" t="s">
        <v>230</v>
      </c>
      <c r="C153" s="9" t="s">
        <v>219</v>
      </c>
      <c r="D153" s="8" t="s">
        <v>219</v>
      </c>
      <c r="E153" s="9" t="s">
        <v>197</v>
      </c>
      <c r="F153" s="8" t="s">
        <v>31</v>
      </c>
      <c r="G153" s="8"/>
      <c r="H153" s="8"/>
      <c r="I153" s="9" t="s">
        <v>33</v>
      </c>
      <c r="J153" s="8" t="s">
        <v>233</v>
      </c>
      <c r="K153" s="10" t="s">
        <v>231</v>
      </c>
      <c r="L153" s="9" t="s">
        <v>181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8">
        <v>152.0</v>
      </c>
      <c r="B154" s="8" t="s">
        <v>234</v>
      </c>
      <c r="C154" s="9" t="s">
        <v>219</v>
      </c>
      <c r="D154" s="8" t="s">
        <v>219</v>
      </c>
      <c r="E154" s="9" t="s">
        <v>29</v>
      </c>
      <c r="F154" s="8" t="s">
        <v>31</v>
      </c>
      <c r="G154" s="8"/>
      <c r="H154" s="8"/>
      <c r="I154" s="9" t="s">
        <v>33</v>
      </c>
      <c r="J154" s="8" t="s">
        <v>235</v>
      </c>
      <c r="K154" s="10" t="s">
        <v>221</v>
      </c>
      <c r="L154" s="9" t="s">
        <v>41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8">
        <v>153.0</v>
      </c>
      <c r="B155" s="8" t="s">
        <v>236</v>
      </c>
      <c r="C155" s="9" t="s">
        <v>219</v>
      </c>
      <c r="D155" s="8" t="s">
        <v>219</v>
      </c>
      <c r="E155" s="9" t="s">
        <v>29</v>
      </c>
      <c r="F155" s="8" t="s">
        <v>31</v>
      </c>
      <c r="G155" s="8"/>
      <c r="H155" s="8"/>
      <c r="I155" s="9" t="s">
        <v>33</v>
      </c>
      <c r="J155" s="8" t="s">
        <v>237</v>
      </c>
      <c r="K155" s="10" t="s">
        <v>221</v>
      </c>
      <c r="L155" s="9" t="s">
        <v>41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L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46.0"/>
    <col customWidth="1" min="3" max="3" width="16.0"/>
    <col customWidth="1" min="4" max="4" width="34.0"/>
    <col customWidth="1" min="5" max="5" width="26.0"/>
    <col customWidth="1" min="6" max="6" width="20.0"/>
    <col customWidth="1" min="7" max="7" width="18.0"/>
    <col customWidth="1" min="8" max="8" width="14.0"/>
    <col customWidth="1" min="9" max="9" width="22.0"/>
    <col customWidth="1" min="10" max="10" width="36.0"/>
  </cols>
  <sheetData>
    <row r="1" ht="15.0" customHeight="1">
      <c r="A1" s="2" t="s">
        <v>2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12</v>
      </c>
      <c r="J2" s="5" t="s">
        <v>13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4.5" customHeight="1">
      <c r="A3" s="8">
        <v>1.0</v>
      </c>
      <c r="B3" s="8" t="s">
        <v>21</v>
      </c>
      <c r="C3" s="9" t="s">
        <v>24</v>
      </c>
      <c r="D3" s="8" t="s">
        <v>27</v>
      </c>
      <c r="E3" s="9" t="s">
        <v>29</v>
      </c>
      <c r="F3" s="8" t="s">
        <v>30</v>
      </c>
      <c r="G3" s="8"/>
      <c r="H3" s="8"/>
      <c r="I3" s="9" t="s">
        <v>32</v>
      </c>
      <c r="J3" s="8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7.0" customHeight="1">
      <c r="A4" s="8">
        <v>2.0</v>
      </c>
      <c r="B4" s="8" t="s">
        <v>37</v>
      </c>
      <c r="C4" s="9" t="s">
        <v>24</v>
      </c>
      <c r="D4" s="8" t="s">
        <v>39</v>
      </c>
      <c r="E4" s="9" t="s">
        <v>29</v>
      </c>
      <c r="F4" s="8" t="s">
        <v>30</v>
      </c>
      <c r="G4" s="8"/>
      <c r="H4" s="8"/>
      <c r="I4" s="9" t="s">
        <v>32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90.75" customHeight="1">
      <c r="A5" s="8">
        <v>3.0</v>
      </c>
      <c r="B5" s="8" t="s">
        <v>44</v>
      </c>
      <c r="C5" s="9" t="s">
        <v>24</v>
      </c>
      <c r="D5" s="8" t="s">
        <v>45</v>
      </c>
      <c r="E5" s="9" t="s">
        <v>29</v>
      </c>
      <c r="F5" s="8" t="s">
        <v>30</v>
      </c>
      <c r="G5" s="8"/>
      <c r="H5" s="8"/>
      <c r="I5" s="9" t="s">
        <v>32</v>
      </c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4.5" customHeight="1">
      <c r="A6" s="8">
        <v>4.0</v>
      </c>
      <c r="B6" s="8" t="s">
        <v>52</v>
      </c>
      <c r="C6" s="9" t="s">
        <v>24</v>
      </c>
      <c r="D6" s="8" t="s">
        <v>27</v>
      </c>
      <c r="E6" s="9" t="s">
        <v>29</v>
      </c>
      <c r="F6" s="8" t="s">
        <v>30</v>
      </c>
      <c r="G6" s="8"/>
      <c r="H6" s="8"/>
      <c r="I6" s="9" t="s">
        <v>32</v>
      </c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4.5" customHeight="1">
      <c r="A7" s="8">
        <v>5.0</v>
      </c>
      <c r="B7" s="8" t="s">
        <v>59</v>
      </c>
      <c r="C7" s="9" t="s">
        <v>53</v>
      </c>
      <c r="D7" s="8" t="s">
        <v>62</v>
      </c>
      <c r="E7" s="9" t="s">
        <v>64</v>
      </c>
      <c r="F7" s="8" t="s">
        <v>30</v>
      </c>
      <c r="G7" s="8"/>
      <c r="H7" s="8"/>
      <c r="I7" s="9" t="s">
        <v>32</v>
      </c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8">
        <v>6.0</v>
      </c>
      <c r="B8" s="8" t="s">
        <v>69</v>
      </c>
      <c r="C8" s="9" t="s">
        <v>53</v>
      </c>
      <c r="D8" s="8" t="s">
        <v>72</v>
      </c>
      <c r="E8" s="9" t="s">
        <v>70</v>
      </c>
      <c r="F8" s="8" t="s">
        <v>30</v>
      </c>
      <c r="G8" s="8"/>
      <c r="H8" s="8"/>
      <c r="I8" s="9" t="s">
        <v>32</v>
      </c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8">
        <v>7.0</v>
      </c>
      <c r="B9" s="8" t="s">
        <v>76</v>
      </c>
      <c r="C9" s="9" t="s">
        <v>24</v>
      </c>
      <c r="D9" s="8" t="s">
        <v>78</v>
      </c>
      <c r="E9" s="9" t="s">
        <v>64</v>
      </c>
      <c r="F9" s="8" t="s">
        <v>30</v>
      </c>
      <c r="G9" s="8"/>
      <c r="H9" s="8"/>
      <c r="I9" s="9" t="s">
        <v>32</v>
      </c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68.25" customHeight="1">
      <c r="A10" s="8">
        <v>8.0</v>
      </c>
      <c r="B10" s="8" t="s">
        <v>81</v>
      </c>
      <c r="C10" s="9" t="s">
        <v>82</v>
      </c>
      <c r="D10" s="8" t="s">
        <v>83</v>
      </c>
      <c r="E10" s="9" t="s">
        <v>29</v>
      </c>
      <c r="F10" s="8" t="s">
        <v>30</v>
      </c>
      <c r="G10" s="8"/>
      <c r="H10" s="8"/>
      <c r="I10" s="9" t="s">
        <v>32</v>
      </c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4.5" customHeight="1">
      <c r="A11" s="8">
        <v>9.0</v>
      </c>
      <c r="B11" s="8" t="s">
        <v>88</v>
      </c>
      <c r="C11" s="9" t="s">
        <v>89</v>
      </c>
      <c r="D11" s="8" t="s">
        <v>90</v>
      </c>
      <c r="E11" s="9" t="s">
        <v>70</v>
      </c>
      <c r="F11" s="8" t="s">
        <v>30</v>
      </c>
      <c r="G11" s="8"/>
      <c r="H11" s="8"/>
      <c r="I11" s="9" t="s">
        <v>32</v>
      </c>
      <c r="J11" s="8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02.0" customHeight="1">
      <c r="A12" s="8">
        <v>10.0</v>
      </c>
      <c r="B12" s="8" t="s">
        <v>97</v>
      </c>
      <c r="C12" s="9" t="s">
        <v>24</v>
      </c>
      <c r="D12" s="8" t="s">
        <v>99</v>
      </c>
      <c r="E12" s="9" t="s">
        <v>29</v>
      </c>
      <c r="F12" s="8" t="s">
        <v>30</v>
      </c>
      <c r="G12" s="8"/>
      <c r="H12" s="8"/>
      <c r="I12" s="9" t="s">
        <v>32</v>
      </c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3.25" customHeight="1">
      <c r="A13" s="8">
        <v>11.0</v>
      </c>
      <c r="B13" s="8" t="s">
        <v>101</v>
      </c>
      <c r="C13" s="9" t="s">
        <v>103</v>
      </c>
      <c r="D13" s="8" t="s">
        <v>105</v>
      </c>
      <c r="E13" s="9" t="s">
        <v>106</v>
      </c>
      <c r="F13" s="8" t="s">
        <v>30</v>
      </c>
      <c r="G13" s="8"/>
      <c r="H13" s="8"/>
      <c r="I13" s="9" t="s">
        <v>32</v>
      </c>
      <c r="J13" s="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4.5" customHeight="1">
      <c r="A14" s="8">
        <v>12.0</v>
      </c>
      <c r="B14" s="8" t="s">
        <v>108</v>
      </c>
      <c r="C14" s="9" t="s">
        <v>96</v>
      </c>
      <c r="D14" s="8" t="s">
        <v>109</v>
      </c>
      <c r="E14" s="9" t="s">
        <v>106</v>
      </c>
      <c r="F14" s="8" t="s">
        <v>30</v>
      </c>
      <c r="G14" s="8"/>
      <c r="H14" s="8"/>
      <c r="I14" s="9" t="s">
        <v>32</v>
      </c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3.25" customHeight="1">
      <c r="A15" s="8">
        <v>13.0</v>
      </c>
      <c r="B15" s="8" t="s">
        <v>113</v>
      </c>
      <c r="C15" s="9" t="s">
        <v>24</v>
      </c>
      <c r="D15" s="8" t="s">
        <v>115</v>
      </c>
      <c r="E15" s="9" t="s">
        <v>29</v>
      </c>
      <c r="F15" s="8" t="s">
        <v>30</v>
      </c>
      <c r="G15" s="8"/>
      <c r="H15" s="8"/>
      <c r="I15" s="9" t="s">
        <v>116</v>
      </c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4.5" customHeight="1">
      <c r="A16" s="8">
        <v>14.0</v>
      </c>
      <c r="B16" s="8" t="s">
        <v>117</v>
      </c>
      <c r="C16" s="9" t="s">
        <v>24</v>
      </c>
      <c r="D16" s="8" t="s">
        <v>115</v>
      </c>
      <c r="E16" s="9" t="s">
        <v>29</v>
      </c>
      <c r="F16" s="8" t="s">
        <v>30</v>
      </c>
      <c r="G16" s="8"/>
      <c r="H16" s="8"/>
      <c r="I16" s="9" t="s">
        <v>116</v>
      </c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3.25" customHeight="1">
      <c r="A17" s="8">
        <v>15.0</v>
      </c>
      <c r="B17" s="8" t="s">
        <v>119</v>
      </c>
      <c r="C17" s="9" t="s">
        <v>24</v>
      </c>
      <c r="D17" s="8" t="s">
        <v>115</v>
      </c>
      <c r="E17" s="9" t="s">
        <v>29</v>
      </c>
      <c r="F17" s="8" t="s">
        <v>30</v>
      </c>
      <c r="G17" s="8"/>
      <c r="H17" s="8"/>
      <c r="I17" s="9" t="s">
        <v>116</v>
      </c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3.25" customHeight="1">
      <c r="A18" s="8">
        <v>16.0</v>
      </c>
      <c r="B18" s="8" t="s">
        <v>124</v>
      </c>
      <c r="C18" s="9" t="s">
        <v>24</v>
      </c>
      <c r="D18" s="8" t="s">
        <v>115</v>
      </c>
      <c r="E18" s="9" t="s">
        <v>64</v>
      </c>
      <c r="F18" s="8" t="s">
        <v>30</v>
      </c>
      <c r="G18" s="8"/>
      <c r="H18" s="8"/>
      <c r="I18" s="9" t="s">
        <v>116</v>
      </c>
      <c r="J18" s="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57.0" customHeight="1">
      <c r="A19" s="8">
        <v>17.0</v>
      </c>
      <c r="B19" s="8" t="s">
        <v>135</v>
      </c>
      <c r="C19" s="9" t="s">
        <v>137</v>
      </c>
      <c r="D19" s="8" t="s">
        <v>138</v>
      </c>
      <c r="E19" s="9" t="s">
        <v>70</v>
      </c>
      <c r="F19" s="8" t="s">
        <v>30</v>
      </c>
      <c r="G19" s="8"/>
      <c r="H19" s="8"/>
      <c r="I19" s="9" t="s">
        <v>116</v>
      </c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3.25" customHeight="1">
      <c r="A20" s="8">
        <v>18.0</v>
      </c>
      <c r="B20" s="8" t="s">
        <v>140</v>
      </c>
      <c r="C20" s="9" t="s">
        <v>96</v>
      </c>
      <c r="D20" s="8" t="s">
        <v>141</v>
      </c>
      <c r="E20" s="9" t="s">
        <v>29</v>
      </c>
      <c r="F20" s="8" t="s">
        <v>30</v>
      </c>
      <c r="G20" s="8"/>
      <c r="H20" s="8"/>
      <c r="I20" s="9" t="s">
        <v>116</v>
      </c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46.0"/>
    <col customWidth="1" min="3" max="3" width="16.0"/>
    <col customWidth="1" min="4" max="4" width="34.0"/>
    <col customWidth="1" min="5" max="5" width="26.0"/>
    <col customWidth="1" min="6" max="6" width="20.0"/>
    <col customWidth="1" min="7" max="7" width="18.0"/>
    <col customWidth="1" min="8" max="8" width="14.0"/>
    <col customWidth="1" min="9" max="9" width="22.0"/>
    <col customWidth="1" min="10" max="10" width="36.0"/>
  </cols>
  <sheetData>
    <row r="1" ht="15.0" customHeight="1">
      <c r="A1" s="2" t="s">
        <v>14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12</v>
      </c>
      <c r="J2" s="5" t="s">
        <v>13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4.5" customHeight="1">
      <c r="A3" s="8" t="s">
        <v>49</v>
      </c>
      <c r="B3" s="8" t="s">
        <v>51</v>
      </c>
      <c r="C3" s="9" t="s">
        <v>53</v>
      </c>
      <c r="D3" s="8" t="s">
        <v>55</v>
      </c>
      <c r="E3" s="9" t="s">
        <v>29</v>
      </c>
      <c r="F3" s="8" t="s">
        <v>46</v>
      </c>
      <c r="G3" s="8"/>
      <c r="H3" s="8"/>
      <c r="I3" s="9" t="s">
        <v>58</v>
      </c>
      <c r="J3" s="8" t="s">
        <v>61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8" t="s">
        <v>65</v>
      </c>
      <c r="B4" s="8" t="s">
        <v>66</v>
      </c>
      <c r="C4" s="9" t="s">
        <v>53</v>
      </c>
      <c r="D4" s="8" t="s">
        <v>67</v>
      </c>
      <c r="E4" s="9" t="s">
        <v>70</v>
      </c>
      <c r="F4" s="8" t="s">
        <v>46</v>
      </c>
      <c r="G4" s="8"/>
      <c r="H4" s="8"/>
      <c r="I4" s="9" t="s">
        <v>58</v>
      </c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5.75" customHeight="1">
      <c r="A5" s="8" t="s">
        <v>75</v>
      </c>
      <c r="B5" s="8" t="s">
        <v>77</v>
      </c>
      <c r="C5" s="9" t="s">
        <v>53</v>
      </c>
      <c r="D5" s="8" t="s">
        <v>79</v>
      </c>
      <c r="E5" s="9" t="s">
        <v>70</v>
      </c>
      <c r="F5" s="8" t="s">
        <v>46</v>
      </c>
      <c r="G5" s="8"/>
      <c r="H5" s="8"/>
      <c r="I5" s="9" t="s">
        <v>58</v>
      </c>
      <c r="J5" s="8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7.0" customHeight="1">
      <c r="A6" s="8" t="s">
        <v>84</v>
      </c>
      <c r="B6" s="8" t="s">
        <v>85</v>
      </c>
      <c r="C6" s="9" t="s">
        <v>53</v>
      </c>
      <c r="D6" s="8" t="s">
        <v>87</v>
      </c>
      <c r="E6" s="9" t="s">
        <v>70</v>
      </c>
      <c r="F6" s="8" t="s">
        <v>46</v>
      </c>
      <c r="G6" s="8"/>
      <c r="H6" s="8"/>
      <c r="I6" s="9" t="s">
        <v>58</v>
      </c>
      <c r="J6" s="8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3.25" customHeight="1">
      <c r="A7" s="8" t="s">
        <v>91</v>
      </c>
      <c r="B7" s="8" t="s">
        <v>94</v>
      </c>
      <c r="C7" s="9" t="s">
        <v>96</v>
      </c>
      <c r="D7" s="8" t="s">
        <v>98</v>
      </c>
      <c r="E7" s="9" t="s">
        <v>70</v>
      </c>
      <c r="F7" s="8" t="s">
        <v>46</v>
      </c>
      <c r="G7" s="8"/>
      <c r="H7" s="8"/>
      <c r="I7" s="9" t="s">
        <v>58</v>
      </c>
      <c r="J7" s="8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4.5" customHeight="1">
      <c r="A8" s="8" t="s">
        <v>102</v>
      </c>
      <c r="B8" s="8" t="s">
        <v>104</v>
      </c>
      <c r="C8" s="9" t="s">
        <v>96</v>
      </c>
      <c r="D8" s="8" t="s">
        <v>107</v>
      </c>
      <c r="E8" s="9" t="s">
        <v>70</v>
      </c>
      <c r="F8" s="8" t="s">
        <v>46</v>
      </c>
      <c r="G8" s="8"/>
      <c r="H8" s="8"/>
      <c r="I8" s="9" t="s">
        <v>58</v>
      </c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8" t="s">
        <v>110</v>
      </c>
      <c r="B9" s="8" t="s">
        <v>111</v>
      </c>
      <c r="C9" s="9" t="s">
        <v>53</v>
      </c>
      <c r="D9" s="8" t="s">
        <v>112</v>
      </c>
      <c r="E9" s="9" t="s">
        <v>29</v>
      </c>
      <c r="F9" s="8" t="s">
        <v>46</v>
      </c>
      <c r="G9" s="8"/>
      <c r="H9" s="8"/>
      <c r="I9" s="9" t="s">
        <v>58</v>
      </c>
      <c r="J9" s="8" t="s">
        <v>114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5.75" customHeight="1">
      <c r="A10" s="8" t="s">
        <v>120</v>
      </c>
      <c r="B10" s="8" t="s">
        <v>121</v>
      </c>
      <c r="C10" s="9" t="s">
        <v>96</v>
      </c>
      <c r="D10" s="8" t="s">
        <v>122</v>
      </c>
      <c r="E10" s="9" t="s">
        <v>70</v>
      </c>
      <c r="F10" s="8" t="s">
        <v>46</v>
      </c>
      <c r="G10" s="8"/>
      <c r="H10" s="8"/>
      <c r="I10" s="9" t="s">
        <v>58</v>
      </c>
      <c r="J10" s="8" t="s">
        <v>123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5.75" customHeight="1">
      <c r="A11" s="8" t="s">
        <v>125</v>
      </c>
      <c r="B11" s="8" t="s">
        <v>126</v>
      </c>
      <c r="C11" s="9" t="s">
        <v>127</v>
      </c>
      <c r="D11" s="8" t="s">
        <v>128</v>
      </c>
      <c r="E11" s="9" t="s">
        <v>70</v>
      </c>
      <c r="F11" s="8" t="s">
        <v>46</v>
      </c>
      <c r="G11" s="8"/>
      <c r="H11" s="8"/>
      <c r="I11" s="9" t="s">
        <v>58</v>
      </c>
      <c r="J11" s="8" t="s">
        <v>129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7.0" customHeight="1">
      <c r="A12" s="8" t="s">
        <v>131</v>
      </c>
      <c r="B12" s="8" t="s">
        <v>133</v>
      </c>
      <c r="C12" s="9" t="s">
        <v>53</v>
      </c>
      <c r="D12" s="8" t="s">
        <v>134</v>
      </c>
      <c r="E12" s="9" t="s">
        <v>70</v>
      </c>
      <c r="F12" s="8" t="s">
        <v>46</v>
      </c>
      <c r="G12" s="8"/>
      <c r="H12" s="8"/>
      <c r="I12" s="9" t="s">
        <v>58</v>
      </c>
      <c r="J12" s="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46.0"/>
    <col customWidth="1" min="3" max="3" width="16.0"/>
    <col customWidth="1" min="4" max="4" width="34.0"/>
    <col customWidth="1" min="5" max="5" width="26.0"/>
    <col customWidth="1" min="6" max="6" width="20.0"/>
    <col customWidth="1" min="7" max="7" width="18.0"/>
    <col customWidth="1" min="8" max="8" width="14.0"/>
    <col customWidth="1" min="9" max="9" width="22.0"/>
    <col customWidth="1" min="10" max="10" width="36.0"/>
  </cols>
  <sheetData>
    <row r="1" ht="15.0" customHeight="1">
      <c r="A1" s="2" t="s">
        <v>238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12</v>
      </c>
      <c r="J2" s="5" t="s">
        <v>13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4.5" customHeight="1">
      <c r="A3" s="8" t="s">
        <v>49</v>
      </c>
      <c r="B3" s="8" t="s">
        <v>51</v>
      </c>
      <c r="C3" s="9" t="s">
        <v>53</v>
      </c>
      <c r="D3" s="8" t="s">
        <v>55</v>
      </c>
      <c r="E3" s="9" t="s">
        <v>29</v>
      </c>
      <c r="F3" s="8" t="s">
        <v>56</v>
      </c>
      <c r="G3" s="8"/>
      <c r="H3" s="8"/>
      <c r="I3" s="9" t="s">
        <v>239</v>
      </c>
      <c r="J3" s="8" t="s">
        <v>240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3.25" customHeight="1">
      <c r="A4" s="8" t="s">
        <v>65</v>
      </c>
      <c r="B4" s="8" t="s">
        <v>66</v>
      </c>
      <c r="C4" s="9" t="s">
        <v>53</v>
      </c>
      <c r="D4" s="8" t="s">
        <v>67</v>
      </c>
      <c r="E4" s="9" t="s">
        <v>70</v>
      </c>
      <c r="F4" s="8" t="s">
        <v>56</v>
      </c>
      <c r="G4" s="8"/>
      <c r="H4" s="8"/>
      <c r="I4" s="9" t="s">
        <v>239</v>
      </c>
      <c r="J4" s="8" t="s">
        <v>241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7.0" customHeight="1">
      <c r="A5" s="8" t="s">
        <v>75</v>
      </c>
      <c r="B5" s="8" t="s">
        <v>85</v>
      </c>
      <c r="C5" s="9" t="s">
        <v>53</v>
      </c>
      <c r="D5" s="8" t="s">
        <v>87</v>
      </c>
      <c r="E5" s="9" t="s">
        <v>70</v>
      </c>
      <c r="F5" s="8" t="s">
        <v>56</v>
      </c>
      <c r="G5" s="8"/>
      <c r="H5" s="8"/>
      <c r="I5" s="9" t="s">
        <v>239</v>
      </c>
      <c r="J5" s="8" t="s">
        <v>242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3.25" customHeight="1">
      <c r="A6" s="8" t="s">
        <v>243</v>
      </c>
      <c r="B6" s="8" t="s">
        <v>94</v>
      </c>
      <c r="C6" s="9" t="s">
        <v>96</v>
      </c>
      <c r="D6" s="8" t="s">
        <v>98</v>
      </c>
      <c r="E6" s="9" t="s">
        <v>70</v>
      </c>
      <c r="F6" s="8" t="s">
        <v>56</v>
      </c>
      <c r="G6" s="8"/>
      <c r="H6" s="8"/>
      <c r="I6" s="9" t="s">
        <v>239</v>
      </c>
      <c r="J6" s="8" t="s">
        <v>244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4.5" customHeight="1">
      <c r="A7" s="8" t="s">
        <v>102</v>
      </c>
      <c r="B7" s="8" t="s">
        <v>104</v>
      </c>
      <c r="C7" s="9" t="s">
        <v>96</v>
      </c>
      <c r="D7" s="8" t="s">
        <v>107</v>
      </c>
      <c r="E7" s="9" t="s">
        <v>70</v>
      </c>
      <c r="F7" s="8" t="s">
        <v>56</v>
      </c>
      <c r="G7" s="8"/>
      <c r="H7" s="8"/>
      <c r="I7" s="9" t="s">
        <v>239</v>
      </c>
      <c r="J7" s="8" t="s">
        <v>246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3.25" customHeight="1">
      <c r="A8" s="8" t="s">
        <v>110</v>
      </c>
      <c r="B8" s="8" t="s">
        <v>111</v>
      </c>
      <c r="C8" s="9" t="s">
        <v>53</v>
      </c>
      <c r="D8" s="8" t="s">
        <v>112</v>
      </c>
      <c r="E8" s="9" t="s">
        <v>29</v>
      </c>
      <c r="F8" s="8" t="s">
        <v>56</v>
      </c>
      <c r="G8" s="8"/>
      <c r="H8" s="8"/>
      <c r="I8" s="9" t="s">
        <v>239</v>
      </c>
      <c r="J8" s="8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3.25" customHeight="1">
      <c r="A9" s="8" t="s">
        <v>120</v>
      </c>
      <c r="B9" s="8" t="s">
        <v>121</v>
      </c>
      <c r="C9" s="9" t="s">
        <v>96</v>
      </c>
      <c r="D9" s="8" t="s">
        <v>98</v>
      </c>
      <c r="E9" s="9" t="s">
        <v>70</v>
      </c>
      <c r="F9" s="8" t="s">
        <v>56</v>
      </c>
      <c r="G9" s="8"/>
      <c r="H9" s="8"/>
      <c r="I9" s="9" t="s">
        <v>239</v>
      </c>
      <c r="J9" s="8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4.5" customHeight="1">
      <c r="A10" s="8" t="s">
        <v>125</v>
      </c>
      <c r="B10" s="8" t="s">
        <v>248</v>
      </c>
      <c r="C10" s="9" t="s">
        <v>53</v>
      </c>
      <c r="D10" s="8" t="s">
        <v>251</v>
      </c>
      <c r="E10" s="9" t="s">
        <v>70</v>
      </c>
      <c r="F10" s="8" t="s">
        <v>56</v>
      </c>
      <c r="G10" s="8"/>
      <c r="H10" s="8"/>
      <c r="I10" s="9" t="s">
        <v>239</v>
      </c>
      <c r="J10" s="8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68.25" customHeight="1">
      <c r="A11" s="8" t="s">
        <v>131</v>
      </c>
      <c r="B11" s="8" t="s">
        <v>254</v>
      </c>
      <c r="C11" s="9" t="s">
        <v>137</v>
      </c>
      <c r="D11" s="8" t="s">
        <v>256</v>
      </c>
      <c r="E11" s="9" t="s">
        <v>29</v>
      </c>
      <c r="F11" s="8" t="s">
        <v>56</v>
      </c>
      <c r="G11" s="8"/>
      <c r="H11" s="8"/>
      <c r="I11" s="9" t="s">
        <v>239</v>
      </c>
      <c r="J11" s="8" t="s">
        <v>259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7.0" customHeight="1">
      <c r="A12" s="8" t="s">
        <v>262</v>
      </c>
      <c r="B12" s="8" t="s">
        <v>263</v>
      </c>
      <c r="C12" s="9" t="s">
        <v>53</v>
      </c>
      <c r="D12" s="8" t="s">
        <v>134</v>
      </c>
      <c r="E12" s="9" t="s">
        <v>70</v>
      </c>
      <c r="F12" s="8" t="s">
        <v>56</v>
      </c>
      <c r="G12" s="8"/>
      <c r="H12" s="8"/>
      <c r="I12" s="9" t="s">
        <v>239</v>
      </c>
      <c r="J12" s="8" t="s">
        <v>265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5.75" customHeight="1">
      <c r="A13" s="8" t="s">
        <v>267</v>
      </c>
      <c r="B13" s="8" t="s">
        <v>269</v>
      </c>
      <c r="C13" s="9" t="s">
        <v>96</v>
      </c>
      <c r="D13" s="8" t="s">
        <v>98</v>
      </c>
      <c r="E13" s="9" t="s">
        <v>29</v>
      </c>
      <c r="F13" s="8" t="s">
        <v>56</v>
      </c>
      <c r="G13" s="8"/>
      <c r="H13" s="8"/>
      <c r="I13" s="9" t="s">
        <v>239</v>
      </c>
      <c r="J13" s="8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7.0" customHeight="1">
      <c r="A14" s="8" t="s">
        <v>49</v>
      </c>
      <c r="B14" s="8" t="s">
        <v>85</v>
      </c>
      <c r="C14" s="9" t="s">
        <v>53</v>
      </c>
      <c r="D14" s="8" t="s">
        <v>87</v>
      </c>
      <c r="E14" s="9" t="s">
        <v>70</v>
      </c>
      <c r="F14" s="8" t="s">
        <v>56</v>
      </c>
      <c r="G14" s="8"/>
      <c r="H14" s="8"/>
      <c r="I14" s="9" t="s">
        <v>275</v>
      </c>
      <c r="J14" s="8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4.5" customHeight="1">
      <c r="A15" s="8" t="s">
        <v>65</v>
      </c>
      <c r="B15" s="8" t="s">
        <v>94</v>
      </c>
      <c r="C15" s="9" t="s">
        <v>96</v>
      </c>
      <c r="D15" s="8" t="s">
        <v>98</v>
      </c>
      <c r="E15" s="9" t="s">
        <v>70</v>
      </c>
      <c r="F15" s="8" t="s">
        <v>56</v>
      </c>
      <c r="G15" s="8"/>
      <c r="H15" s="8"/>
      <c r="I15" s="9" t="s">
        <v>275</v>
      </c>
      <c r="J15" s="8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4.5" customHeight="1">
      <c r="A16" s="8" t="s">
        <v>75</v>
      </c>
      <c r="B16" s="8" t="s">
        <v>104</v>
      </c>
      <c r="C16" s="9" t="s">
        <v>96</v>
      </c>
      <c r="D16" s="8" t="s">
        <v>107</v>
      </c>
      <c r="E16" s="9" t="s">
        <v>70</v>
      </c>
      <c r="F16" s="8" t="s">
        <v>56</v>
      </c>
      <c r="G16" s="8"/>
      <c r="H16" s="8"/>
      <c r="I16" s="9" t="s">
        <v>275</v>
      </c>
      <c r="J16" s="8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4.5" customHeight="1">
      <c r="A17" s="8" t="s">
        <v>84</v>
      </c>
      <c r="B17" s="8" t="s">
        <v>283</v>
      </c>
      <c r="C17" s="9" t="s">
        <v>53</v>
      </c>
      <c r="D17" s="8" t="s">
        <v>112</v>
      </c>
      <c r="E17" s="9" t="s">
        <v>29</v>
      </c>
      <c r="F17" s="8" t="s">
        <v>56</v>
      </c>
      <c r="G17" s="8"/>
      <c r="H17" s="8"/>
      <c r="I17" s="9" t="s">
        <v>275</v>
      </c>
      <c r="J17" s="8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57.0" customHeight="1">
      <c r="A18" s="8" t="s">
        <v>102</v>
      </c>
      <c r="B18" s="8" t="s">
        <v>288</v>
      </c>
      <c r="C18" s="9" t="s">
        <v>53</v>
      </c>
      <c r="D18" s="8" t="s">
        <v>291</v>
      </c>
      <c r="E18" s="9" t="s">
        <v>29</v>
      </c>
      <c r="F18" s="8" t="s">
        <v>56</v>
      </c>
      <c r="G18" s="8"/>
      <c r="H18" s="8"/>
      <c r="I18" s="9" t="s">
        <v>275</v>
      </c>
      <c r="J18" s="8" t="s">
        <v>293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5.75" customHeight="1">
      <c r="A19" s="8" t="s">
        <v>110</v>
      </c>
      <c r="B19" s="8" t="s">
        <v>297</v>
      </c>
      <c r="C19" s="9" t="s">
        <v>53</v>
      </c>
      <c r="D19" s="8" t="s">
        <v>300</v>
      </c>
      <c r="E19" s="9" t="s">
        <v>29</v>
      </c>
      <c r="F19" s="8" t="s">
        <v>56</v>
      </c>
      <c r="G19" s="8"/>
      <c r="H19" s="8"/>
      <c r="I19" s="9" t="s">
        <v>275</v>
      </c>
      <c r="J19" s="8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57.0" customHeight="1">
      <c r="A20" s="8" t="s">
        <v>120</v>
      </c>
      <c r="B20" s="8" t="s">
        <v>304</v>
      </c>
      <c r="C20" s="9" t="s">
        <v>137</v>
      </c>
      <c r="D20" s="8" t="s">
        <v>305</v>
      </c>
      <c r="E20" s="9" t="s">
        <v>29</v>
      </c>
      <c r="F20" s="8" t="s">
        <v>56</v>
      </c>
      <c r="G20" s="8"/>
      <c r="H20" s="8"/>
      <c r="I20" s="9" t="s">
        <v>275</v>
      </c>
      <c r="J20" s="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5.75" customHeight="1">
      <c r="A21" s="8" t="s">
        <v>125</v>
      </c>
      <c r="B21" s="8" t="s">
        <v>308</v>
      </c>
      <c r="C21" s="9" t="s">
        <v>137</v>
      </c>
      <c r="D21" s="8" t="s">
        <v>309</v>
      </c>
      <c r="E21" s="9" t="s">
        <v>70</v>
      </c>
      <c r="F21" s="8" t="s">
        <v>56</v>
      </c>
      <c r="G21" s="8"/>
      <c r="H21" s="8"/>
      <c r="I21" s="9" t="s">
        <v>275</v>
      </c>
      <c r="J21" s="8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5.75" customHeight="1">
      <c r="A22" s="8" t="s">
        <v>131</v>
      </c>
      <c r="B22" s="8" t="s">
        <v>269</v>
      </c>
      <c r="C22" s="9" t="s">
        <v>96</v>
      </c>
      <c r="D22" s="8" t="s">
        <v>98</v>
      </c>
      <c r="E22" s="9" t="s">
        <v>29</v>
      </c>
      <c r="F22" s="8" t="s">
        <v>56</v>
      </c>
      <c r="G22" s="8"/>
      <c r="H22" s="8"/>
      <c r="I22" s="9" t="s">
        <v>275</v>
      </c>
      <c r="J22" s="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57.0" customHeight="1">
      <c r="A23" s="8" t="s">
        <v>49</v>
      </c>
      <c r="B23" s="8" t="s">
        <v>85</v>
      </c>
      <c r="C23" s="9" t="s">
        <v>53</v>
      </c>
      <c r="D23" s="8" t="s">
        <v>87</v>
      </c>
      <c r="E23" s="9" t="s">
        <v>70</v>
      </c>
      <c r="F23" s="8" t="s">
        <v>56</v>
      </c>
      <c r="G23" s="8"/>
      <c r="H23" s="8"/>
      <c r="I23" s="9" t="s">
        <v>323</v>
      </c>
      <c r="J23" s="8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34.5" customHeight="1">
      <c r="A24" s="8" t="s">
        <v>65</v>
      </c>
      <c r="B24" s="8" t="s">
        <v>94</v>
      </c>
      <c r="C24" s="9" t="s">
        <v>96</v>
      </c>
      <c r="D24" s="8" t="s">
        <v>98</v>
      </c>
      <c r="E24" s="9" t="s">
        <v>70</v>
      </c>
      <c r="F24" s="8" t="s">
        <v>56</v>
      </c>
      <c r="G24" s="8"/>
      <c r="H24" s="8"/>
      <c r="I24" s="9" t="s">
        <v>323</v>
      </c>
      <c r="J24" s="8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34.5" customHeight="1">
      <c r="A25" s="8" t="s">
        <v>75</v>
      </c>
      <c r="B25" s="8" t="s">
        <v>104</v>
      </c>
      <c r="C25" s="9" t="s">
        <v>96</v>
      </c>
      <c r="D25" s="8" t="s">
        <v>107</v>
      </c>
      <c r="E25" s="9" t="s">
        <v>70</v>
      </c>
      <c r="F25" s="8" t="s">
        <v>56</v>
      </c>
      <c r="G25" s="8"/>
      <c r="H25" s="8"/>
      <c r="I25" s="9" t="s">
        <v>323</v>
      </c>
      <c r="J25" s="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34.5" customHeight="1">
      <c r="A26" s="8" t="s">
        <v>84</v>
      </c>
      <c r="B26" s="8" t="s">
        <v>331</v>
      </c>
      <c r="C26" s="9" t="s">
        <v>53</v>
      </c>
      <c r="D26" s="8" t="s">
        <v>333</v>
      </c>
      <c r="E26" s="9" t="s">
        <v>29</v>
      </c>
      <c r="F26" s="8" t="s">
        <v>56</v>
      </c>
      <c r="G26" s="8"/>
      <c r="H26" s="8"/>
      <c r="I26" s="9" t="s">
        <v>323</v>
      </c>
      <c r="J26" s="8" t="s">
        <v>335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4.5" customHeight="1">
      <c r="A27" s="8" t="s">
        <v>102</v>
      </c>
      <c r="B27" s="8" t="s">
        <v>336</v>
      </c>
      <c r="C27" s="9" t="s">
        <v>53</v>
      </c>
      <c r="D27" s="8" t="s">
        <v>337</v>
      </c>
      <c r="E27" s="9" t="s">
        <v>29</v>
      </c>
      <c r="F27" s="8" t="s">
        <v>56</v>
      </c>
      <c r="G27" s="8"/>
      <c r="H27" s="8"/>
      <c r="I27" s="9" t="s">
        <v>323</v>
      </c>
      <c r="J27" s="8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57.0" customHeight="1">
      <c r="A28" s="8" t="s">
        <v>110</v>
      </c>
      <c r="B28" s="8" t="s">
        <v>340</v>
      </c>
      <c r="C28" s="9" t="s">
        <v>137</v>
      </c>
      <c r="D28" s="8" t="s">
        <v>342</v>
      </c>
      <c r="E28" s="9" t="s">
        <v>29</v>
      </c>
      <c r="F28" s="8" t="s">
        <v>56</v>
      </c>
      <c r="G28" s="8"/>
      <c r="H28" s="8"/>
      <c r="I28" s="9" t="s">
        <v>323</v>
      </c>
      <c r="J28" s="8" t="s">
        <v>344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34.5" customHeight="1">
      <c r="A29" s="8" t="s">
        <v>120</v>
      </c>
      <c r="B29" s="8" t="s">
        <v>346</v>
      </c>
      <c r="C29" s="9" t="s">
        <v>53</v>
      </c>
      <c r="D29" s="8" t="s">
        <v>348</v>
      </c>
      <c r="E29" s="9" t="s">
        <v>29</v>
      </c>
      <c r="F29" s="8" t="s">
        <v>56</v>
      </c>
      <c r="G29" s="8"/>
      <c r="H29" s="8"/>
      <c r="I29" s="9" t="s">
        <v>323</v>
      </c>
      <c r="J29" s="8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57.0" customHeight="1">
      <c r="A30" s="8" t="s">
        <v>125</v>
      </c>
      <c r="B30" s="8" t="s">
        <v>351</v>
      </c>
      <c r="C30" s="9" t="s">
        <v>53</v>
      </c>
      <c r="D30" s="8" t="s">
        <v>353</v>
      </c>
      <c r="E30" s="9" t="s">
        <v>70</v>
      </c>
      <c r="F30" s="8" t="s">
        <v>56</v>
      </c>
      <c r="G30" s="8"/>
      <c r="H30" s="8"/>
      <c r="I30" s="9" t="s">
        <v>323</v>
      </c>
      <c r="J30" s="8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34.5" customHeight="1">
      <c r="A31" s="8" t="s">
        <v>131</v>
      </c>
      <c r="B31" s="8" t="s">
        <v>357</v>
      </c>
      <c r="C31" s="9" t="s">
        <v>53</v>
      </c>
      <c r="D31" s="8" t="s">
        <v>358</v>
      </c>
      <c r="E31" s="9" t="s">
        <v>70</v>
      </c>
      <c r="F31" s="8" t="s">
        <v>56</v>
      </c>
      <c r="G31" s="8"/>
      <c r="H31" s="8"/>
      <c r="I31" s="9" t="s">
        <v>323</v>
      </c>
      <c r="J31" s="8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34.5" customHeight="1">
      <c r="A32" s="8" t="s">
        <v>262</v>
      </c>
      <c r="B32" s="8" t="s">
        <v>361</v>
      </c>
      <c r="C32" s="9" t="s">
        <v>96</v>
      </c>
      <c r="D32" s="8" t="s">
        <v>98</v>
      </c>
      <c r="E32" s="9" t="s">
        <v>70</v>
      </c>
      <c r="F32" s="8" t="s">
        <v>56</v>
      </c>
      <c r="G32" s="8"/>
      <c r="H32" s="8"/>
      <c r="I32" s="9" t="s">
        <v>323</v>
      </c>
      <c r="J32" s="8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34.5" customHeight="1">
      <c r="A33" s="8" t="s">
        <v>267</v>
      </c>
      <c r="B33" s="8" t="s">
        <v>365</v>
      </c>
      <c r="C33" s="9" t="s">
        <v>53</v>
      </c>
      <c r="D33" s="8" t="s">
        <v>368</v>
      </c>
      <c r="E33" s="9" t="s">
        <v>70</v>
      </c>
      <c r="F33" s="8" t="s">
        <v>56</v>
      </c>
      <c r="G33" s="8"/>
      <c r="H33" s="8"/>
      <c r="I33" s="9" t="s">
        <v>323</v>
      </c>
      <c r="J33" s="8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57.0" customHeight="1">
      <c r="A34" s="8" t="s">
        <v>374</v>
      </c>
      <c r="B34" s="8" t="s">
        <v>375</v>
      </c>
      <c r="C34" s="9" t="s">
        <v>53</v>
      </c>
      <c r="D34" s="8" t="s">
        <v>376</v>
      </c>
      <c r="E34" s="9" t="s">
        <v>70</v>
      </c>
      <c r="F34" s="8" t="s">
        <v>56</v>
      </c>
      <c r="G34" s="8"/>
      <c r="H34" s="8"/>
      <c r="I34" s="9" t="s">
        <v>323</v>
      </c>
      <c r="J34" s="8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J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44AD"/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4.43" defaultRowHeight="15.0"/>
  <cols>
    <col customWidth="1" min="1" max="1" width="5.0"/>
    <col customWidth="1" min="2" max="2" width="52.57"/>
    <col customWidth="1" min="3" max="3" width="26.0"/>
    <col customWidth="1" min="4" max="4" width="48.0"/>
    <col customWidth="1" min="5" max="5" width="18.0"/>
    <col customWidth="1" min="6" max="6" width="30.0"/>
    <col customWidth="1" min="7" max="7" width="10.0"/>
    <col customWidth="1" min="8" max="8" width="22.0"/>
    <col customWidth="1" min="9" max="9" width="24.0"/>
    <col customWidth="1" min="10" max="10" width="30.0"/>
    <col customWidth="1" min="11" max="11" width="24.0"/>
    <col customWidth="1" min="12" max="13" width="30.0"/>
    <col customWidth="1" min="14" max="14" width="15.0"/>
    <col customWidth="1" min="15" max="15" width="40.0"/>
    <col customWidth="1" min="16" max="16" width="30.0"/>
    <col customWidth="1" min="17" max="17" width="40.0"/>
    <col customWidth="1" min="18" max="18" width="9.0"/>
    <col customWidth="1" min="19" max="26" width="8.71"/>
  </cols>
  <sheetData>
    <row r="1" ht="51.75" customHeight="1">
      <c r="A1" s="20" t="s">
        <v>245</v>
      </c>
    </row>
    <row r="2" ht="42.0" customHeight="1">
      <c r="A2" s="21" t="s">
        <v>3</v>
      </c>
      <c r="B2" s="21" t="s">
        <v>247</v>
      </c>
      <c r="C2" s="21" t="s">
        <v>249</v>
      </c>
      <c r="D2" s="21" t="s">
        <v>250</v>
      </c>
      <c r="E2" s="21" t="s">
        <v>5</v>
      </c>
      <c r="F2" s="21" t="s">
        <v>252</v>
      </c>
      <c r="G2" s="22" t="s">
        <v>253</v>
      </c>
      <c r="H2" s="22" t="s">
        <v>255</v>
      </c>
      <c r="I2" s="22" t="s">
        <v>257</v>
      </c>
      <c r="J2" s="22" t="s">
        <v>258</v>
      </c>
      <c r="K2" s="21" t="s">
        <v>260</v>
      </c>
      <c r="L2" s="21" t="s">
        <v>20</v>
      </c>
      <c r="M2" s="21" t="s">
        <v>261</v>
      </c>
      <c r="N2" s="23" t="s">
        <v>264</v>
      </c>
      <c r="O2" s="23" t="s">
        <v>266</v>
      </c>
      <c r="P2" s="23" t="s">
        <v>268</v>
      </c>
      <c r="Q2" s="23" t="s">
        <v>270</v>
      </c>
      <c r="R2" s="22" t="s">
        <v>271</v>
      </c>
    </row>
    <row r="3">
      <c r="A3" s="24">
        <v>1.0</v>
      </c>
      <c r="B3" s="24" t="s">
        <v>272</v>
      </c>
      <c r="C3" s="24"/>
      <c r="D3" s="24" t="s">
        <v>273</v>
      </c>
      <c r="E3" s="24" t="s">
        <v>274</v>
      </c>
      <c r="F3" s="24" t="s">
        <v>276</v>
      </c>
      <c r="G3" s="24">
        <v>448.0</v>
      </c>
      <c r="H3" s="24"/>
      <c r="I3" s="24"/>
      <c r="J3" s="24"/>
      <c r="K3" s="25" t="s">
        <v>106</v>
      </c>
      <c r="L3" s="25" t="s">
        <v>182</v>
      </c>
      <c r="M3" s="24" t="s">
        <v>277</v>
      </c>
      <c r="N3" s="26" t="s">
        <v>132</v>
      </c>
      <c r="O3" s="24" t="s">
        <v>211</v>
      </c>
      <c r="P3" s="24" t="s">
        <v>278</v>
      </c>
      <c r="Q3" s="24" t="s">
        <v>279</v>
      </c>
      <c r="R3" s="24">
        <v>3.0</v>
      </c>
    </row>
    <row r="4">
      <c r="A4" s="24">
        <v>2.0</v>
      </c>
      <c r="B4" s="24" t="s">
        <v>272</v>
      </c>
      <c r="C4" s="24"/>
      <c r="D4" s="24" t="s">
        <v>280</v>
      </c>
      <c r="E4" s="24" t="s">
        <v>274</v>
      </c>
      <c r="F4" s="24" t="s">
        <v>276</v>
      </c>
      <c r="G4" s="24">
        <v>449.0</v>
      </c>
      <c r="H4" s="24" t="s">
        <v>281</v>
      </c>
      <c r="I4" s="24"/>
      <c r="J4" s="24"/>
      <c r="K4" s="25" t="s">
        <v>197</v>
      </c>
      <c r="L4" s="25" t="s">
        <v>181</v>
      </c>
      <c r="M4" s="24" t="s">
        <v>282</v>
      </c>
      <c r="N4" s="26" t="s">
        <v>132</v>
      </c>
      <c r="O4" s="24" t="s">
        <v>210</v>
      </c>
      <c r="P4" s="24" t="s">
        <v>284</v>
      </c>
      <c r="Q4" s="24" t="s">
        <v>285</v>
      </c>
      <c r="R4" s="24">
        <v>4.0</v>
      </c>
    </row>
    <row r="5">
      <c r="A5" s="24">
        <v>3.0</v>
      </c>
      <c r="B5" s="24" t="s">
        <v>272</v>
      </c>
      <c r="C5" s="24"/>
      <c r="D5" s="24" t="s">
        <v>286</v>
      </c>
      <c r="E5" s="24" t="s">
        <v>274</v>
      </c>
      <c r="F5" s="24" t="s">
        <v>276</v>
      </c>
      <c r="G5" s="24">
        <v>450.0</v>
      </c>
      <c r="H5" s="24" t="s">
        <v>287</v>
      </c>
      <c r="I5" s="24"/>
      <c r="J5" s="24"/>
      <c r="K5" s="25" t="s">
        <v>29</v>
      </c>
      <c r="L5" s="25" t="s">
        <v>41</v>
      </c>
      <c r="M5" s="24" t="s">
        <v>289</v>
      </c>
      <c r="N5" s="26" t="s">
        <v>132</v>
      </c>
      <c r="O5" s="24" t="s">
        <v>290</v>
      </c>
      <c r="P5" s="24" t="s">
        <v>292</v>
      </c>
      <c r="Q5" s="24" t="s">
        <v>285</v>
      </c>
      <c r="R5" s="24">
        <v>5.0</v>
      </c>
    </row>
    <row r="6">
      <c r="A6" s="24">
        <v>4.0</v>
      </c>
      <c r="B6" s="24" t="s">
        <v>272</v>
      </c>
      <c r="C6" s="24"/>
      <c r="D6" s="24" t="s">
        <v>294</v>
      </c>
      <c r="E6" s="24" t="s">
        <v>274</v>
      </c>
      <c r="F6" s="24" t="s">
        <v>276</v>
      </c>
      <c r="G6" s="24">
        <v>451.0</v>
      </c>
      <c r="H6" s="24"/>
      <c r="I6" s="24"/>
      <c r="J6" s="24"/>
      <c r="K6" s="25" t="s">
        <v>197</v>
      </c>
      <c r="L6" s="25" t="s">
        <v>180</v>
      </c>
      <c r="M6" s="24" t="s">
        <v>295</v>
      </c>
      <c r="N6" s="26" t="s">
        <v>132</v>
      </c>
      <c r="O6" s="24" t="s">
        <v>296</v>
      </c>
      <c r="P6" s="24" t="s">
        <v>298</v>
      </c>
      <c r="Q6" s="24" t="s">
        <v>299</v>
      </c>
      <c r="R6" s="24">
        <v>6.0</v>
      </c>
    </row>
    <row r="7">
      <c r="A7" s="24">
        <v>5.0</v>
      </c>
      <c r="B7" s="24" t="s">
        <v>272</v>
      </c>
      <c r="C7" s="24"/>
      <c r="D7" s="24" t="s">
        <v>301</v>
      </c>
      <c r="E7" s="24" t="s">
        <v>274</v>
      </c>
      <c r="F7" s="24" t="s">
        <v>276</v>
      </c>
      <c r="G7" s="24">
        <v>452.0</v>
      </c>
      <c r="H7" s="24" t="s">
        <v>302</v>
      </c>
      <c r="I7" s="24"/>
      <c r="J7" s="24"/>
      <c r="K7" s="25" t="s">
        <v>64</v>
      </c>
      <c r="L7" s="25" t="s">
        <v>153</v>
      </c>
      <c r="M7" s="24" t="s">
        <v>303</v>
      </c>
      <c r="N7" s="27" t="s">
        <v>144</v>
      </c>
      <c r="O7" s="24"/>
      <c r="P7" s="24"/>
      <c r="Q7" s="24" t="s">
        <v>306</v>
      </c>
      <c r="R7" s="24">
        <v>7.0</v>
      </c>
    </row>
    <row r="8">
      <c r="A8" s="24">
        <v>6.0</v>
      </c>
      <c r="B8" s="24" t="s">
        <v>272</v>
      </c>
      <c r="C8" s="24"/>
      <c r="D8" s="24" t="s">
        <v>307</v>
      </c>
      <c r="E8" s="24" t="s">
        <v>274</v>
      </c>
      <c r="F8" s="24" t="s">
        <v>276</v>
      </c>
      <c r="G8" s="24">
        <v>458.0</v>
      </c>
      <c r="H8" s="24" t="s">
        <v>302</v>
      </c>
      <c r="I8" s="24"/>
      <c r="J8" s="24"/>
      <c r="K8" s="25" t="s">
        <v>64</v>
      </c>
      <c r="L8" s="25" t="s">
        <v>153</v>
      </c>
      <c r="M8" s="24" t="s">
        <v>310</v>
      </c>
      <c r="N8" s="27" t="s">
        <v>144</v>
      </c>
      <c r="O8" s="24"/>
      <c r="P8" s="24"/>
      <c r="Q8" s="24" t="s">
        <v>311</v>
      </c>
      <c r="R8" s="24">
        <v>8.0</v>
      </c>
    </row>
    <row r="9">
      <c r="A9" s="24">
        <v>7.0</v>
      </c>
      <c r="B9" s="24" t="s">
        <v>312</v>
      </c>
      <c r="C9" s="24" t="s">
        <v>313</v>
      </c>
      <c r="D9" s="24" t="s">
        <v>314</v>
      </c>
      <c r="E9" s="24" t="s">
        <v>315</v>
      </c>
      <c r="F9" s="24" t="s">
        <v>316</v>
      </c>
      <c r="G9" s="24">
        <v>453.0</v>
      </c>
      <c r="H9" s="24" t="s">
        <v>287</v>
      </c>
      <c r="I9" s="24" t="s">
        <v>317</v>
      </c>
      <c r="J9" s="24" t="s">
        <v>318</v>
      </c>
      <c r="K9" s="25" t="s">
        <v>29</v>
      </c>
      <c r="L9" s="25" t="s">
        <v>41</v>
      </c>
      <c r="M9" s="24" t="s">
        <v>319</v>
      </c>
      <c r="N9" s="26" t="s">
        <v>132</v>
      </c>
      <c r="O9" s="24" t="s">
        <v>142</v>
      </c>
      <c r="P9" s="24" t="s">
        <v>320</v>
      </c>
      <c r="Q9" s="24"/>
      <c r="R9" s="24">
        <v>14.0</v>
      </c>
    </row>
    <row r="10">
      <c r="A10" s="24">
        <v>8.0</v>
      </c>
      <c r="B10" s="24" t="s">
        <v>312</v>
      </c>
      <c r="C10" s="24" t="s">
        <v>313</v>
      </c>
      <c r="D10" s="24" t="s">
        <v>321</v>
      </c>
      <c r="E10" s="24" t="s">
        <v>315</v>
      </c>
      <c r="F10" s="24" t="s">
        <v>316</v>
      </c>
      <c r="G10" s="24">
        <v>454.0</v>
      </c>
      <c r="H10" s="24" t="s">
        <v>287</v>
      </c>
      <c r="I10" s="24" t="s">
        <v>317</v>
      </c>
      <c r="J10" s="24" t="s">
        <v>322</v>
      </c>
      <c r="K10" s="25" t="s">
        <v>29</v>
      </c>
      <c r="L10" s="25" t="s">
        <v>41</v>
      </c>
      <c r="M10" s="24" t="s">
        <v>319</v>
      </c>
      <c r="N10" s="27" t="s">
        <v>144</v>
      </c>
      <c r="O10" s="24"/>
      <c r="P10" s="24"/>
      <c r="Q10" s="24" t="s">
        <v>324</v>
      </c>
      <c r="R10" s="24">
        <v>15.0</v>
      </c>
    </row>
    <row r="11">
      <c r="A11" s="24">
        <v>9.0</v>
      </c>
      <c r="B11" s="24" t="s">
        <v>312</v>
      </c>
      <c r="C11" s="24" t="s">
        <v>313</v>
      </c>
      <c r="D11" s="24" t="s">
        <v>325</v>
      </c>
      <c r="E11" s="24" t="s">
        <v>315</v>
      </c>
      <c r="F11" s="24" t="s">
        <v>316</v>
      </c>
      <c r="G11" s="24">
        <v>455.0</v>
      </c>
      <c r="H11" s="24" t="s">
        <v>287</v>
      </c>
      <c r="I11" s="24" t="s">
        <v>317</v>
      </c>
      <c r="J11" s="24" t="s">
        <v>326</v>
      </c>
      <c r="K11" s="25" t="s">
        <v>29</v>
      </c>
      <c r="L11" s="25" t="s">
        <v>41</v>
      </c>
      <c r="M11" s="24" t="s">
        <v>319</v>
      </c>
      <c r="N11" s="26" t="s">
        <v>132</v>
      </c>
      <c r="O11" s="24" t="s">
        <v>139</v>
      </c>
      <c r="P11" s="24" t="s">
        <v>327</v>
      </c>
      <c r="Q11" s="24"/>
      <c r="R11" s="24">
        <v>16.0</v>
      </c>
    </row>
    <row r="12">
      <c r="A12" s="24">
        <v>10.0</v>
      </c>
      <c r="B12" s="24" t="s">
        <v>312</v>
      </c>
      <c r="C12" s="24" t="s">
        <v>313</v>
      </c>
      <c r="D12" s="24" t="s">
        <v>328</v>
      </c>
      <c r="E12" s="24" t="s">
        <v>315</v>
      </c>
      <c r="F12" s="24" t="s">
        <v>316</v>
      </c>
      <c r="G12" s="24">
        <v>456.0</v>
      </c>
      <c r="H12" s="24" t="s">
        <v>287</v>
      </c>
      <c r="I12" s="24" t="s">
        <v>317</v>
      </c>
      <c r="J12" s="24" t="s">
        <v>329</v>
      </c>
      <c r="K12" s="25" t="s">
        <v>29</v>
      </c>
      <c r="L12" s="25" t="s">
        <v>41</v>
      </c>
      <c r="M12" s="24" t="s">
        <v>319</v>
      </c>
      <c r="N12" s="26" t="s">
        <v>132</v>
      </c>
      <c r="O12" s="24" t="s">
        <v>146</v>
      </c>
      <c r="P12" s="24" t="s">
        <v>330</v>
      </c>
      <c r="Q12" s="24"/>
      <c r="R12" s="24">
        <v>17.0</v>
      </c>
    </row>
    <row r="13">
      <c r="A13" s="24">
        <v>11.0</v>
      </c>
      <c r="B13" s="24" t="s">
        <v>312</v>
      </c>
      <c r="C13" s="24" t="s">
        <v>313</v>
      </c>
      <c r="D13" s="24" t="s">
        <v>332</v>
      </c>
      <c r="E13" s="24" t="s">
        <v>315</v>
      </c>
      <c r="F13" s="24" t="s">
        <v>316</v>
      </c>
      <c r="G13" s="24">
        <v>457.0</v>
      </c>
      <c r="H13" s="24" t="s">
        <v>287</v>
      </c>
      <c r="I13" s="24" t="s">
        <v>317</v>
      </c>
      <c r="J13" s="24" t="s">
        <v>334</v>
      </c>
      <c r="K13" s="25" t="s">
        <v>29</v>
      </c>
      <c r="L13" s="25" t="s">
        <v>41</v>
      </c>
      <c r="M13" s="24" t="s">
        <v>319</v>
      </c>
      <c r="N13" s="27" t="s">
        <v>144</v>
      </c>
      <c r="O13" s="24"/>
      <c r="P13" s="24"/>
      <c r="Q13" s="24"/>
      <c r="R13" s="24">
        <v>18.0</v>
      </c>
    </row>
    <row r="14">
      <c r="A14" s="24">
        <v>12.0</v>
      </c>
      <c r="B14" s="24" t="s">
        <v>312</v>
      </c>
      <c r="C14" s="24" t="s">
        <v>313</v>
      </c>
      <c r="D14" s="24" t="s">
        <v>338</v>
      </c>
      <c r="E14" s="24" t="s">
        <v>315</v>
      </c>
      <c r="F14" s="24" t="s">
        <v>316</v>
      </c>
      <c r="G14" s="24">
        <v>459.0</v>
      </c>
      <c r="H14" s="24" t="s">
        <v>287</v>
      </c>
      <c r="I14" s="24" t="s">
        <v>317</v>
      </c>
      <c r="J14" s="24" t="s">
        <v>339</v>
      </c>
      <c r="K14" s="25" t="s">
        <v>29</v>
      </c>
      <c r="L14" s="25" t="s">
        <v>41</v>
      </c>
      <c r="M14" s="24" t="s">
        <v>319</v>
      </c>
      <c r="N14" s="26" t="s">
        <v>132</v>
      </c>
      <c r="O14" s="24" t="s">
        <v>143</v>
      </c>
      <c r="P14" s="24" t="s">
        <v>341</v>
      </c>
      <c r="Q14" s="24"/>
      <c r="R14" s="24">
        <v>19.0</v>
      </c>
    </row>
    <row r="15">
      <c r="A15" s="24">
        <v>13.0</v>
      </c>
      <c r="B15" s="24" t="s">
        <v>312</v>
      </c>
      <c r="C15" s="24" t="s">
        <v>313</v>
      </c>
      <c r="D15" s="24" t="s">
        <v>343</v>
      </c>
      <c r="E15" s="24" t="s">
        <v>315</v>
      </c>
      <c r="F15" s="24" t="s">
        <v>316</v>
      </c>
      <c r="G15" s="24">
        <v>460.0</v>
      </c>
      <c r="H15" s="24" t="s">
        <v>287</v>
      </c>
      <c r="I15" s="24" t="s">
        <v>317</v>
      </c>
      <c r="J15" s="24" t="s">
        <v>329</v>
      </c>
      <c r="K15" s="25" t="s">
        <v>29</v>
      </c>
      <c r="L15" s="25" t="s">
        <v>41</v>
      </c>
      <c r="M15" s="24" t="s">
        <v>319</v>
      </c>
      <c r="N15" s="26" t="s">
        <v>132</v>
      </c>
      <c r="O15" s="24" t="s">
        <v>150</v>
      </c>
      <c r="P15" s="24" t="s">
        <v>345</v>
      </c>
      <c r="Q15" s="24" t="s">
        <v>347</v>
      </c>
      <c r="R15" s="24">
        <v>20.0</v>
      </c>
    </row>
    <row r="16">
      <c r="A16" s="24">
        <v>14.0</v>
      </c>
      <c r="B16" s="24" t="s">
        <v>312</v>
      </c>
      <c r="C16" s="24" t="s">
        <v>313</v>
      </c>
      <c r="D16" s="24" t="s">
        <v>349</v>
      </c>
      <c r="E16" s="24" t="s">
        <v>315</v>
      </c>
      <c r="F16" s="24" t="s">
        <v>316</v>
      </c>
      <c r="G16" s="24">
        <v>461.0</v>
      </c>
      <c r="H16" s="24" t="s">
        <v>287</v>
      </c>
      <c r="I16" s="24" t="s">
        <v>317</v>
      </c>
      <c r="J16" s="24" t="s">
        <v>350</v>
      </c>
      <c r="K16" s="25" t="s">
        <v>29</v>
      </c>
      <c r="L16" s="25" t="s">
        <v>41</v>
      </c>
      <c r="M16" s="24" t="s">
        <v>319</v>
      </c>
      <c r="N16" s="27" t="s">
        <v>144</v>
      </c>
      <c r="O16" s="24"/>
      <c r="P16" s="24"/>
      <c r="Q16" s="24" t="s">
        <v>352</v>
      </c>
      <c r="R16" s="24">
        <v>21.0</v>
      </c>
    </row>
    <row r="17">
      <c r="A17" s="24">
        <v>15.0</v>
      </c>
      <c r="B17" s="24" t="s">
        <v>312</v>
      </c>
      <c r="C17" s="24" t="s">
        <v>313</v>
      </c>
      <c r="D17" s="24" t="s">
        <v>354</v>
      </c>
      <c r="E17" s="24" t="s">
        <v>315</v>
      </c>
      <c r="F17" s="24" t="s">
        <v>316</v>
      </c>
      <c r="G17" s="24">
        <v>462.0</v>
      </c>
      <c r="H17" s="24" t="s">
        <v>287</v>
      </c>
      <c r="I17" s="24" t="s">
        <v>317</v>
      </c>
      <c r="J17" s="24" t="s">
        <v>355</v>
      </c>
      <c r="K17" s="25" t="s">
        <v>29</v>
      </c>
      <c r="L17" s="25" t="s">
        <v>41</v>
      </c>
      <c r="M17" s="24" t="s">
        <v>319</v>
      </c>
      <c r="N17" s="27" t="s">
        <v>144</v>
      </c>
      <c r="O17" s="24"/>
      <c r="P17" s="24"/>
      <c r="Q17" s="24" t="s">
        <v>356</v>
      </c>
      <c r="R17" s="24">
        <v>22.0</v>
      </c>
    </row>
    <row r="18">
      <c r="A18" s="24">
        <v>16.0</v>
      </c>
      <c r="B18" s="24" t="s">
        <v>312</v>
      </c>
      <c r="C18" s="24" t="s">
        <v>313</v>
      </c>
      <c r="D18" s="24" t="s">
        <v>359</v>
      </c>
      <c r="E18" s="24" t="s">
        <v>315</v>
      </c>
      <c r="F18" s="24" t="s">
        <v>316</v>
      </c>
      <c r="G18" s="24">
        <v>463.0</v>
      </c>
      <c r="H18" s="24" t="s">
        <v>287</v>
      </c>
      <c r="I18" s="24" t="s">
        <v>317</v>
      </c>
      <c r="J18" s="24" t="s">
        <v>360</v>
      </c>
      <c r="K18" s="25" t="s">
        <v>29</v>
      </c>
      <c r="L18" s="25" t="s">
        <v>41</v>
      </c>
      <c r="M18" s="24" t="s">
        <v>319</v>
      </c>
      <c r="N18" s="27" t="s">
        <v>144</v>
      </c>
      <c r="O18" s="24"/>
      <c r="P18" s="24"/>
      <c r="Q18" s="24"/>
      <c r="R18" s="24">
        <v>23.0</v>
      </c>
    </row>
    <row r="19">
      <c r="A19" s="24">
        <v>17.0</v>
      </c>
      <c r="B19" s="24" t="s">
        <v>312</v>
      </c>
      <c r="C19" s="24" t="s">
        <v>313</v>
      </c>
      <c r="D19" s="24" t="s">
        <v>362</v>
      </c>
      <c r="E19" s="24" t="s">
        <v>219</v>
      </c>
      <c r="F19" s="24" t="s">
        <v>219</v>
      </c>
      <c r="G19" s="24">
        <v>464.0</v>
      </c>
      <c r="H19" s="24" t="s">
        <v>287</v>
      </c>
      <c r="I19" s="24" t="s">
        <v>317</v>
      </c>
      <c r="J19" s="24"/>
      <c r="K19" s="25" t="s">
        <v>29</v>
      </c>
      <c r="L19" s="25" t="s">
        <v>41</v>
      </c>
      <c r="M19" s="24" t="s">
        <v>319</v>
      </c>
      <c r="N19" s="26" t="s">
        <v>132</v>
      </c>
      <c r="O19" s="24" t="s">
        <v>222</v>
      </c>
      <c r="P19" s="24" t="s">
        <v>363</v>
      </c>
      <c r="Q19" s="24"/>
      <c r="R19" s="24">
        <v>24.0</v>
      </c>
    </row>
    <row r="20">
      <c r="A20" s="24">
        <v>18.0</v>
      </c>
      <c r="B20" s="24" t="s">
        <v>364</v>
      </c>
      <c r="C20" s="24" t="s">
        <v>366</v>
      </c>
      <c r="D20" s="24" t="s">
        <v>367</v>
      </c>
      <c r="E20" s="24" t="s">
        <v>369</v>
      </c>
      <c r="F20" s="24" t="s">
        <v>370</v>
      </c>
      <c r="G20" s="24"/>
      <c r="H20" s="24"/>
      <c r="I20" s="24"/>
      <c r="J20" s="24"/>
      <c r="K20" s="25" t="s">
        <v>371</v>
      </c>
      <c r="L20" s="25" t="s">
        <v>371</v>
      </c>
      <c r="M20" s="24" t="s">
        <v>303</v>
      </c>
      <c r="N20" s="26" t="s">
        <v>132</v>
      </c>
      <c r="O20" s="24" t="s">
        <v>69</v>
      </c>
      <c r="P20" s="24" t="s">
        <v>372</v>
      </c>
      <c r="Q20" s="24" t="s">
        <v>373</v>
      </c>
      <c r="R20" s="24">
        <v>31.0</v>
      </c>
    </row>
    <row r="21" ht="15.75" customHeight="1">
      <c r="A21" s="24">
        <v>19.0</v>
      </c>
      <c r="B21" s="24" t="s">
        <v>364</v>
      </c>
      <c r="C21" s="24" t="s">
        <v>366</v>
      </c>
      <c r="D21" s="24" t="s">
        <v>377</v>
      </c>
      <c r="E21" s="24" t="s">
        <v>369</v>
      </c>
      <c r="F21" s="24" t="s">
        <v>370</v>
      </c>
      <c r="G21" s="24"/>
      <c r="H21" s="24"/>
      <c r="I21" s="24"/>
      <c r="J21" s="24"/>
      <c r="K21" s="25" t="s">
        <v>371</v>
      </c>
      <c r="L21" s="25" t="s">
        <v>371</v>
      </c>
      <c r="M21" s="24" t="s">
        <v>303</v>
      </c>
      <c r="N21" s="26" t="s">
        <v>132</v>
      </c>
      <c r="O21" s="24" t="s">
        <v>69</v>
      </c>
      <c r="P21" s="24" t="s">
        <v>372</v>
      </c>
      <c r="Q21" s="24" t="s">
        <v>378</v>
      </c>
      <c r="R21" s="24">
        <v>32.0</v>
      </c>
    </row>
    <row r="22" ht="15.75" customHeight="1">
      <c r="A22" s="24">
        <v>20.0</v>
      </c>
      <c r="B22" s="24" t="s">
        <v>364</v>
      </c>
      <c r="C22" s="24" t="s">
        <v>366</v>
      </c>
      <c r="D22" s="24" t="s">
        <v>379</v>
      </c>
      <c r="E22" s="24" t="s">
        <v>369</v>
      </c>
      <c r="F22" s="24" t="s">
        <v>370</v>
      </c>
      <c r="G22" s="24"/>
      <c r="H22" s="24"/>
      <c r="I22" s="24"/>
      <c r="J22" s="24"/>
      <c r="K22" s="25" t="s">
        <v>371</v>
      </c>
      <c r="L22" s="25" t="s">
        <v>371</v>
      </c>
      <c r="M22" s="24" t="s">
        <v>303</v>
      </c>
      <c r="N22" s="26" t="s">
        <v>132</v>
      </c>
      <c r="O22" s="24" t="s">
        <v>69</v>
      </c>
      <c r="P22" s="24" t="s">
        <v>372</v>
      </c>
      <c r="Q22" s="24" t="s">
        <v>378</v>
      </c>
      <c r="R22" s="24">
        <v>33.0</v>
      </c>
    </row>
    <row r="23" ht="15.75" customHeight="1">
      <c r="A23" s="24">
        <v>21.0</v>
      </c>
      <c r="B23" s="24" t="s">
        <v>364</v>
      </c>
      <c r="C23" s="24" t="s">
        <v>380</v>
      </c>
      <c r="D23" s="24" t="s">
        <v>381</v>
      </c>
      <c r="E23" s="24" t="s">
        <v>315</v>
      </c>
      <c r="F23" s="24" t="s">
        <v>382</v>
      </c>
      <c r="G23" s="24">
        <v>548.0</v>
      </c>
      <c r="H23" s="24" t="s">
        <v>383</v>
      </c>
      <c r="I23" s="24" t="s">
        <v>384</v>
      </c>
      <c r="J23" s="24"/>
      <c r="K23" s="25" t="s">
        <v>29</v>
      </c>
      <c r="L23" s="25" t="s">
        <v>163</v>
      </c>
      <c r="M23" s="24" t="s">
        <v>319</v>
      </c>
      <c r="N23" s="27" t="s">
        <v>144</v>
      </c>
      <c r="O23" s="24"/>
      <c r="P23" s="24"/>
      <c r="Q23" s="24" t="s">
        <v>385</v>
      </c>
      <c r="R23" s="24">
        <v>39.0</v>
      </c>
    </row>
    <row r="24" ht="15.75" customHeight="1">
      <c r="A24" s="24">
        <v>22.0</v>
      </c>
      <c r="B24" s="24" t="s">
        <v>364</v>
      </c>
      <c r="C24" s="24" t="s">
        <v>380</v>
      </c>
      <c r="D24" s="24" t="s">
        <v>386</v>
      </c>
      <c r="E24" s="24" t="s">
        <v>315</v>
      </c>
      <c r="F24" s="24" t="s">
        <v>382</v>
      </c>
      <c r="G24" s="24">
        <v>547.0</v>
      </c>
      <c r="H24" s="24" t="s">
        <v>383</v>
      </c>
      <c r="I24" s="24" t="s">
        <v>384</v>
      </c>
      <c r="J24" s="24"/>
      <c r="K24" s="25" t="s">
        <v>29</v>
      </c>
      <c r="L24" s="25" t="s">
        <v>163</v>
      </c>
      <c r="M24" s="24" t="s">
        <v>319</v>
      </c>
      <c r="N24" s="26" t="s">
        <v>132</v>
      </c>
      <c r="O24" s="24" t="s">
        <v>216</v>
      </c>
      <c r="P24" s="24" t="s">
        <v>387</v>
      </c>
      <c r="Q24" s="24"/>
      <c r="R24" s="24">
        <v>40.0</v>
      </c>
    </row>
    <row r="25" ht="15.75" customHeight="1">
      <c r="A25" s="24">
        <v>23.0</v>
      </c>
      <c r="B25" s="24" t="s">
        <v>364</v>
      </c>
      <c r="C25" s="24" t="s">
        <v>380</v>
      </c>
      <c r="D25" s="24" t="s">
        <v>388</v>
      </c>
      <c r="E25" s="24" t="s">
        <v>315</v>
      </c>
      <c r="F25" s="24" t="s">
        <v>382</v>
      </c>
      <c r="G25" s="24">
        <v>546.0</v>
      </c>
      <c r="H25" s="24" t="s">
        <v>383</v>
      </c>
      <c r="I25" s="24" t="s">
        <v>389</v>
      </c>
      <c r="J25" s="24"/>
      <c r="K25" s="28" t="s">
        <v>390</v>
      </c>
      <c r="L25" s="28" t="s">
        <v>391</v>
      </c>
      <c r="M25" s="24" t="s">
        <v>392</v>
      </c>
      <c r="N25" s="26" t="s">
        <v>132</v>
      </c>
      <c r="O25" s="24" t="s">
        <v>124</v>
      </c>
      <c r="P25" s="24" t="s">
        <v>393</v>
      </c>
      <c r="Q25" s="24" t="s">
        <v>394</v>
      </c>
      <c r="R25" s="24">
        <v>41.0</v>
      </c>
    </row>
    <row r="26" ht="15.75" customHeight="1">
      <c r="A26" s="24">
        <v>24.0</v>
      </c>
      <c r="B26" s="24" t="s">
        <v>364</v>
      </c>
      <c r="C26" s="24" t="s">
        <v>380</v>
      </c>
      <c r="D26" s="24" t="s">
        <v>395</v>
      </c>
      <c r="E26" s="24" t="s">
        <v>315</v>
      </c>
      <c r="F26" s="24" t="s">
        <v>382</v>
      </c>
      <c r="G26" s="24">
        <v>545.0</v>
      </c>
      <c r="H26" s="24" t="s">
        <v>383</v>
      </c>
      <c r="I26" s="24" t="s">
        <v>317</v>
      </c>
      <c r="J26" s="24"/>
      <c r="K26" s="25" t="s">
        <v>29</v>
      </c>
      <c r="L26" s="25" t="s">
        <v>41</v>
      </c>
      <c r="M26" s="24" t="s">
        <v>319</v>
      </c>
      <c r="N26" s="26" t="s">
        <v>132</v>
      </c>
      <c r="O26" s="24" t="s">
        <v>396</v>
      </c>
      <c r="P26" s="24" t="s">
        <v>397</v>
      </c>
      <c r="Q26" s="24"/>
      <c r="R26" s="24">
        <v>42.0</v>
      </c>
    </row>
    <row r="27" ht="15.75" customHeight="1">
      <c r="A27" s="24">
        <v>25.0</v>
      </c>
      <c r="B27" s="24" t="s">
        <v>364</v>
      </c>
      <c r="C27" s="24" t="s">
        <v>380</v>
      </c>
      <c r="D27" s="24" t="s">
        <v>398</v>
      </c>
      <c r="E27" s="24" t="s">
        <v>315</v>
      </c>
      <c r="F27" s="24" t="s">
        <v>382</v>
      </c>
      <c r="G27" s="24">
        <v>470.0</v>
      </c>
      <c r="H27" s="24" t="s">
        <v>383</v>
      </c>
      <c r="I27" s="24" t="s">
        <v>317</v>
      </c>
      <c r="J27" s="24" t="s">
        <v>399</v>
      </c>
      <c r="K27" s="25" t="s">
        <v>29</v>
      </c>
      <c r="L27" s="25" t="s">
        <v>41</v>
      </c>
      <c r="M27" s="24" t="s">
        <v>319</v>
      </c>
      <c r="N27" s="27" t="s">
        <v>144</v>
      </c>
      <c r="O27" s="24"/>
      <c r="P27" s="24"/>
      <c r="Q27" s="24" t="s">
        <v>400</v>
      </c>
      <c r="R27" s="24">
        <v>43.0</v>
      </c>
    </row>
    <row r="28" ht="15.75" customHeight="1">
      <c r="A28" s="24">
        <v>26.0</v>
      </c>
      <c r="B28" s="24" t="s">
        <v>364</v>
      </c>
      <c r="C28" s="24" t="s">
        <v>380</v>
      </c>
      <c r="D28" s="24" t="s">
        <v>401</v>
      </c>
      <c r="E28" s="24" t="s">
        <v>315</v>
      </c>
      <c r="F28" s="24" t="s">
        <v>382</v>
      </c>
      <c r="G28" s="24">
        <v>544.0</v>
      </c>
      <c r="H28" s="24" t="s">
        <v>383</v>
      </c>
      <c r="I28" s="24" t="s">
        <v>317</v>
      </c>
      <c r="J28" s="24"/>
      <c r="K28" s="25" t="s">
        <v>29</v>
      </c>
      <c r="L28" s="25" t="s">
        <v>41</v>
      </c>
      <c r="M28" s="24" t="s">
        <v>319</v>
      </c>
      <c r="N28" s="26" t="s">
        <v>132</v>
      </c>
      <c r="O28" s="24" t="s">
        <v>80</v>
      </c>
      <c r="P28" s="24" t="s">
        <v>402</v>
      </c>
      <c r="Q28" s="24" t="s">
        <v>403</v>
      </c>
      <c r="R28" s="24">
        <v>44.0</v>
      </c>
    </row>
    <row r="29" ht="15.75" customHeight="1">
      <c r="A29" s="24">
        <v>27.0</v>
      </c>
      <c r="B29" s="24" t="s">
        <v>364</v>
      </c>
      <c r="C29" s="24" t="s">
        <v>380</v>
      </c>
      <c r="D29" s="24" t="s">
        <v>404</v>
      </c>
      <c r="E29" s="24" t="s">
        <v>315</v>
      </c>
      <c r="F29" s="24" t="s">
        <v>382</v>
      </c>
      <c r="G29" s="24">
        <v>543.0</v>
      </c>
      <c r="H29" s="24" t="s">
        <v>383</v>
      </c>
      <c r="I29" s="24" t="s">
        <v>389</v>
      </c>
      <c r="J29" s="24"/>
      <c r="K29" s="28" t="s">
        <v>390</v>
      </c>
      <c r="L29" s="28" t="s">
        <v>391</v>
      </c>
      <c r="M29" s="24" t="s">
        <v>392</v>
      </c>
      <c r="N29" s="27" t="s">
        <v>144</v>
      </c>
      <c r="O29" s="24"/>
      <c r="P29" s="24"/>
      <c r="Q29" s="24" t="s">
        <v>405</v>
      </c>
      <c r="R29" s="24">
        <v>45.0</v>
      </c>
    </row>
    <row r="30" ht="15.75" customHeight="1">
      <c r="A30" s="24">
        <v>28.0</v>
      </c>
      <c r="B30" s="24" t="s">
        <v>364</v>
      </c>
      <c r="C30" s="24" t="s">
        <v>380</v>
      </c>
      <c r="D30" s="24" t="s">
        <v>406</v>
      </c>
      <c r="E30" s="24" t="s">
        <v>315</v>
      </c>
      <c r="F30" s="24" t="s">
        <v>382</v>
      </c>
      <c r="G30" s="24">
        <v>542.0</v>
      </c>
      <c r="H30" s="24" t="s">
        <v>383</v>
      </c>
      <c r="I30" s="24" t="s">
        <v>389</v>
      </c>
      <c r="J30" s="24"/>
      <c r="K30" s="28" t="s">
        <v>390</v>
      </c>
      <c r="L30" s="28" t="s">
        <v>391</v>
      </c>
      <c r="M30" s="24" t="s">
        <v>392</v>
      </c>
      <c r="N30" s="27" t="s">
        <v>144</v>
      </c>
      <c r="O30" s="24"/>
      <c r="P30" s="24"/>
      <c r="Q30" s="24" t="s">
        <v>407</v>
      </c>
      <c r="R30" s="24">
        <v>46.0</v>
      </c>
    </row>
    <row r="31" ht="15.75" customHeight="1">
      <c r="A31" s="24">
        <v>29.0</v>
      </c>
      <c r="B31" s="24" t="s">
        <v>364</v>
      </c>
      <c r="C31" s="24" t="s">
        <v>380</v>
      </c>
      <c r="D31" s="24" t="s">
        <v>408</v>
      </c>
      <c r="E31" s="24" t="s">
        <v>315</v>
      </c>
      <c r="F31" s="24" t="s">
        <v>382</v>
      </c>
      <c r="G31" s="24">
        <v>541.0</v>
      </c>
      <c r="H31" s="24" t="s">
        <v>383</v>
      </c>
      <c r="I31" s="24" t="s">
        <v>389</v>
      </c>
      <c r="J31" s="24"/>
      <c r="K31" s="28" t="s">
        <v>390</v>
      </c>
      <c r="L31" s="28" t="s">
        <v>391</v>
      </c>
      <c r="M31" s="24" t="s">
        <v>392</v>
      </c>
      <c r="N31" s="26" t="s">
        <v>132</v>
      </c>
      <c r="O31" s="24" t="s">
        <v>76</v>
      </c>
      <c r="P31" s="24" t="s">
        <v>409</v>
      </c>
      <c r="Q31" s="24" t="s">
        <v>410</v>
      </c>
      <c r="R31" s="24">
        <v>47.0</v>
      </c>
    </row>
    <row r="32" ht="15.75" customHeight="1">
      <c r="A32" s="24">
        <v>30.0</v>
      </c>
      <c r="B32" s="24" t="s">
        <v>364</v>
      </c>
      <c r="C32" s="24" t="s">
        <v>380</v>
      </c>
      <c r="D32" s="24" t="s">
        <v>411</v>
      </c>
      <c r="E32" s="24" t="s">
        <v>219</v>
      </c>
      <c r="F32" s="24" t="s">
        <v>219</v>
      </c>
      <c r="G32" s="24">
        <v>246.0</v>
      </c>
      <c r="H32" s="24" t="s">
        <v>302</v>
      </c>
      <c r="I32" s="24" t="s">
        <v>389</v>
      </c>
      <c r="J32" s="24"/>
      <c r="K32" s="28" t="s">
        <v>390</v>
      </c>
      <c r="L32" s="28" t="s">
        <v>391</v>
      </c>
      <c r="M32" s="24" t="s">
        <v>392</v>
      </c>
      <c r="N32" s="27" t="s">
        <v>144</v>
      </c>
      <c r="O32" s="24"/>
      <c r="P32" s="24"/>
      <c r="Q32" s="24" t="s">
        <v>412</v>
      </c>
      <c r="R32" s="24">
        <v>48.0</v>
      </c>
    </row>
    <row r="33" ht="15.75" customHeight="1">
      <c r="A33" s="24">
        <v>31.0</v>
      </c>
      <c r="B33" s="24" t="s">
        <v>413</v>
      </c>
      <c r="C33" s="24" t="s">
        <v>414</v>
      </c>
      <c r="D33" s="24" t="s">
        <v>415</v>
      </c>
      <c r="E33" s="24" t="s">
        <v>416</v>
      </c>
      <c r="F33" s="24" t="s">
        <v>417</v>
      </c>
      <c r="G33" s="24">
        <v>465.0</v>
      </c>
      <c r="H33" s="24" t="s">
        <v>418</v>
      </c>
      <c r="I33" s="24" t="s">
        <v>419</v>
      </c>
      <c r="J33" s="24"/>
      <c r="K33" s="25" t="s">
        <v>188</v>
      </c>
      <c r="L33" s="25" t="s">
        <v>162</v>
      </c>
      <c r="M33" s="24" t="s">
        <v>319</v>
      </c>
      <c r="N33" s="27" t="s">
        <v>144</v>
      </c>
      <c r="O33" s="24"/>
      <c r="P33" s="24"/>
      <c r="Q33" s="24"/>
      <c r="R33" s="24">
        <v>55.0</v>
      </c>
    </row>
    <row r="34" ht="15.75" customHeight="1">
      <c r="A34" s="24">
        <v>32.0</v>
      </c>
      <c r="B34" s="24" t="s">
        <v>413</v>
      </c>
      <c r="C34" s="24" t="s">
        <v>414</v>
      </c>
      <c r="D34" s="24" t="s">
        <v>420</v>
      </c>
      <c r="E34" s="24" t="s">
        <v>416</v>
      </c>
      <c r="F34" s="24" t="s">
        <v>417</v>
      </c>
      <c r="G34" s="24">
        <v>475.0</v>
      </c>
      <c r="H34" s="24" t="s">
        <v>418</v>
      </c>
      <c r="I34" s="24" t="s">
        <v>421</v>
      </c>
      <c r="J34" s="24"/>
      <c r="K34" s="25" t="s">
        <v>188</v>
      </c>
      <c r="L34" s="25" t="s">
        <v>176</v>
      </c>
      <c r="M34" s="24" t="s">
        <v>319</v>
      </c>
      <c r="N34" s="26" t="s">
        <v>132</v>
      </c>
      <c r="O34" s="24" t="s">
        <v>422</v>
      </c>
      <c r="P34" s="24" t="s">
        <v>423</v>
      </c>
      <c r="Q34" s="24"/>
      <c r="R34" s="24">
        <v>56.0</v>
      </c>
    </row>
    <row r="35" ht="15.75" customHeight="1">
      <c r="A35" s="24">
        <v>33.0</v>
      </c>
      <c r="B35" s="24" t="s">
        <v>413</v>
      </c>
      <c r="C35" s="24" t="s">
        <v>414</v>
      </c>
      <c r="D35" s="24" t="s">
        <v>424</v>
      </c>
      <c r="E35" s="24" t="s">
        <v>416</v>
      </c>
      <c r="F35" s="24" t="s">
        <v>417</v>
      </c>
      <c r="G35" s="24">
        <v>476.0</v>
      </c>
      <c r="H35" s="24" t="s">
        <v>418</v>
      </c>
      <c r="I35" s="24" t="s">
        <v>317</v>
      </c>
      <c r="J35" s="24"/>
      <c r="K35" s="25" t="s">
        <v>29</v>
      </c>
      <c r="L35" s="25" t="s">
        <v>41</v>
      </c>
      <c r="M35" s="24" t="s">
        <v>319</v>
      </c>
      <c r="N35" s="26" t="s">
        <v>132</v>
      </c>
      <c r="O35" s="24" t="s">
        <v>425</v>
      </c>
      <c r="P35" s="24" t="s">
        <v>426</v>
      </c>
      <c r="Q35" s="24" t="s">
        <v>427</v>
      </c>
      <c r="R35" s="24">
        <v>57.0</v>
      </c>
    </row>
    <row r="36" ht="15.75" customHeight="1">
      <c r="A36" s="24">
        <v>34.0</v>
      </c>
      <c r="B36" s="24" t="s">
        <v>413</v>
      </c>
      <c r="C36" s="24" t="s">
        <v>414</v>
      </c>
      <c r="D36" s="24" t="s">
        <v>428</v>
      </c>
      <c r="E36" s="24" t="s">
        <v>416</v>
      </c>
      <c r="F36" s="24" t="s">
        <v>417</v>
      </c>
      <c r="G36" s="24">
        <v>477.0</v>
      </c>
      <c r="H36" s="24" t="s">
        <v>418</v>
      </c>
      <c r="I36" s="24" t="s">
        <v>429</v>
      </c>
      <c r="J36" s="24"/>
      <c r="K36" s="25" t="s">
        <v>106</v>
      </c>
      <c r="L36" s="25" t="s">
        <v>182</v>
      </c>
      <c r="M36" s="24" t="s">
        <v>319</v>
      </c>
      <c r="N36" s="27" t="s">
        <v>144</v>
      </c>
      <c r="O36" s="24"/>
      <c r="P36" s="24"/>
      <c r="Q36" s="24" t="s">
        <v>430</v>
      </c>
      <c r="R36" s="24">
        <v>58.0</v>
      </c>
    </row>
    <row r="37" ht="15.75" customHeight="1">
      <c r="A37" s="24">
        <v>35.0</v>
      </c>
      <c r="B37" s="24" t="s">
        <v>413</v>
      </c>
      <c r="C37" s="24" t="s">
        <v>414</v>
      </c>
      <c r="D37" s="24" t="s">
        <v>431</v>
      </c>
      <c r="E37" s="24" t="s">
        <v>416</v>
      </c>
      <c r="F37" s="24" t="s">
        <v>417</v>
      </c>
      <c r="G37" s="24">
        <v>478.0</v>
      </c>
      <c r="H37" s="24" t="s">
        <v>418</v>
      </c>
      <c r="I37" s="24" t="s">
        <v>429</v>
      </c>
      <c r="J37" s="24"/>
      <c r="K37" s="25" t="s">
        <v>106</v>
      </c>
      <c r="L37" s="25" t="s">
        <v>182</v>
      </c>
      <c r="M37" s="24" t="s">
        <v>319</v>
      </c>
      <c r="N37" s="26" t="s">
        <v>132</v>
      </c>
      <c r="O37" s="24" t="s">
        <v>432</v>
      </c>
      <c r="P37" s="24" t="s">
        <v>433</v>
      </c>
      <c r="Q37" s="24"/>
      <c r="R37" s="24">
        <v>59.0</v>
      </c>
    </row>
    <row r="38" ht="15.75" customHeight="1">
      <c r="A38" s="24">
        <v>36.0</v>
      </c>
      <c r="B38" s="24" t="s">
        <v>413</v>
      </c>
      <c r="C38" s="24" t="s">
        <v>414</v>
      </c>
      <c r="D38" s="24" t="s">
        <v>434</v>
      </c>
      <c r="E38" s="24" t="s">
        <v>416</v>
      </c>
      <c r="F38" s="24" t="s">
        <v>417</v>
      </c>
      <c r="G38" s="24">
        <v>479.0</v>
      </c>
      <c r="H38" s="24" t="s">
        <v>418</v>
      </c>
      <c r="I38" s="24" t="s">
        <v>429</v>
      </c>
      <c r="J38" s="24"/>
      <c r="K38" s="25" t="s">
        <v>106</v>
      </c>
      <c r="L38" s="25" t="s">
        <v>182</v>
      </c>
      <c r="M38" s="24" t="s">
        <v>319</v>
      </c>
      <c r="N38" s="26" t="s">
        <v>132</v>
      </c>
      <c r="O38" s="24" t="s">
        <v>435</v>
      </c>
      <c r="P38" s="24" t="s">
        <v>436</v>
      </c>
      <c r="Q38" s="24"/>
      <c r="R38" s="24">
        <v>60.0</v>
      </c>
    </row>
    <row r="39" ht="15.75" customHeight="1">
      <c r="A39" s="24">
        <v>37.0</v>
      </c>
      <c r="B39" s="24" t="s">
        <v>413</v>
      </c>
      <c r="C39" s="24" t="s">
        <v>414</v>
      </c>
      <c r="D39" s="24" t="s">
        <v>437</v>
      </c>
      <c r="E39" s="24" t="s">
        <v>416</v>
      </c>
      <c r="F39" s="24" t="s">
        <v>417</v>
      </c>
      <c r="G39" s="24">
        <v>480.0</v>
      </c>
      <c r="H39" s="24" t="s">
        <v>418</v>
      </c>
      <c r="I39" s="24" t="s">
        <v>429</v>
      </c>
      <c r="J39" s="24"/>
      <c r="K39" s="25" t="s">
        <v>106</v>
      </c>
      <c r="L39" s="25" t="s">
        <v>182</v>
      </c>
      <c r="M39" s="24" t="s">
        <v>319</v>
      </c>
      <c r="N39" s="26" t="s">
        <v>132</v>
      </c>
      <c r="O39" s="24" t="s">
        <v>438</v>
      </c>
      <c r="P39" s="24" t="s">
        <v>439</v>
      </c>
      <c r="Q39" s="24"/>
      <c r="R39" s="24">
        <v>61.0</v>
      </c>
    </row>
    <row r="40" ht="15.75" customHeight="1">
      <c r="A40" s="24">
        <v>38.0</v>
      </c>
      <c r="B40" s="24" t="s">
        <v>413</v>
      </c>
      <c r="C40" s="24" t="s">
        <v>414</v>
      </c>
      <c r="D40" s="24" t="s">
        <v>440</v>
      </c>
      <c r="E40" s="24" t="s">
        <v>416</v>
      </c>
      <c r="F40" s="24" t="s">
        <v>417</v>
      </c>
      <c r="G40" s="24">
        <v>481.0</v>
      </c>
      <c r="H40" s="24" t="s">
        <v>418</v>
      </c>
      <c r="I40" s="24" t="s">
        <v>429</v>
      </c>
      <c r="J40" s="24"/>
      <c r="K40" s="25" t="s">
        <v>106</v>
      </c>
      <c r="L40" s="25" t="s">
        <v>182</v>
      </c>
      <c r="M40" s="24" t="s">
        <v>319</v>
      </c>
      <c r="N40" s="26" t="s">
        <v>132</v>
      </c>
      <c r="O40" s="24" t="s">
        <v>441</v>
      </c>
      <c r="P40" s="24" t="s">
        <v>442</v>
      </c>
      <c r="Q40" s="24" t="s">
        <v>443</v>
      </c>
      <c r="R40" s="24">
        <v>62.0</v>
      </c>
    </row>
    <row r="41" ht="15.75" customHeight="1">
      <c r="A41" s="24">
        <v>39.0</v>
      </c>
      <c r="B41" s="24" t="s">
        <v>413</v>
      </c>
      <c r="C41" s="24" t="s">
        <v>414</v>
      </c>
      <c r="D41" s="24" t="s">
        <v>444</v>
      </c>
      <c r="E41" s="24" t="s">
        <v>416</v>
      </c>
      <c r="F41" s="24" t="s">
        <v>417</v>
      </c>
      <c r="G41" s="24">
        <v>482.0</v>
      </c>
      <c r="H41" s="24" t="s">
        <v>418</v>
      </c>
      <c r="I41" s="24" t="s">
        <v>419</v>
      </c>
      <c r="J41" s="24"/>
      <c r="K41" s="25" t="s">
        <v>188</v>
      </c>
      <c r="L41" s="25" t="s">
        <v>162</v>
      </c>
      <c r="M41" s="24" t="s">
        <v>319</v>
      </c>
      <c r="N41" s="26" t="s">
        <v>132</v>
      </c>
      <c r="O41" s="24" t="s">
        <v>445</v>
      </c>
      <c r="P41" s="24" t="s">
        <v>446</v>
      </c>
      <c r="Q41" s="24"/>
      <c r="R41" s="24">
        <v>63.0</v>
      </c>
    </row>
    <row r="42" ht="15.75" customHeight="1">
      <c r="A42" s="24">
        <v>40.0</v>
      </c>
      <c r="B42" s="24" t="s">
        <v>413</v>
      </c>
      <c r="C42" s="24" t="s">
        <v>414</v>
      </c>
      <c r="D42" s="24" t="s">
        <v>447</v>
      </c>
      <c r="E42" s="24" t="s">
        <v>416</v>
      </c>
      <c r="F42" s="24" t="s">
        <v>417</v>
      </c>
      <c r="G42" s="24">
        <v>483.0</v>
      </c>
      <c r="H42" s="24" t="s">
        <v>418</v>
      </c>
      <c r="I42" s="24" t="s">
        <v>419</v>
      </c>
      <c r="J42" s="24"/>
      <c r="K42" s="25" t="s">
        <v>188</v>
      </c>
      <c r="L42" s="25" t="s">
        <v>162</v>
      </c>
      <c r="M42" s="24" t="s">
        <v>319</v>
      </c>
      <c r="N42" s="27" t="s">
        <v>144</v>
      </c>
      <c r="O42" s="24"/>
      <c r="P42" s="24"/>
      <c r="Q42" s="24" t="s">
        <v>448</v>
      </c>
      <c r="R42" s="24">
        <v>64.0</v>
      </c>
    </row>
    <row r="43" ht="15.75" customHeight="1">
      <c r="A43" s="24">
        <v>41.0</v>
      </c>
      <c r="B43" s="24" t="s">
        <v>413</v>
      </c>
      <c r="C43" s="24" t="s">
        <v>414</v>
      </c>
      <c r="D43" s="24" t="s">
        <v>449</v>
      </c>
      <c r="E43" s="24" t="s">
        <v>219</v>
      </c>
      <c r="F43" s="24" t="s">
        <v>219</v>
      </c>
      <c r="G43" s="24"/>
      <c r="H43" s="24"/>
      <c r="I43" s="24"/>
      <c r="J43" s="24" t="s">
        <v>450</v>
      </c>
      <c r="K43" s="28" t="s">
        <v>451</v>
      </c>
      <c r="L43" s="28" t="s">
        <v>452</v>
      </c>
      <c r="M43" s="24" t="s">
        <v>453</v>
      </c>
      <c r="N43" s="27" t="s">
        <v>144</v>
      </c>
      <c r="O43" s="24"/>
      <c r="P43" s="24"/>
      <c r="Q43" s="24"/>
      <c r="R43" s="24">
        <v>65.0</v>
      </c>
    </row>
    <row r="44" ht="15.75" customHeight="1">
      <c r="A44" s="24">
        <v>42.0</v>
      </c>
      <c r="B44" s="24" t="s">
        <v>454</v>
      </c>
      <c r="C44" s="24" t="s">
        <v>380</v>
      </c>
      <c r="D44" s="24" t="s">
        <v>455</v>
      </c>
      <c r="E44" s="24" t="s">
        <v>315</v>
      </c>
      <c r="F44" s="24" t="s">
        <v>382</v>
      </c>
      <c r="G44" s="24">
        <v>549.0</v>
      </c>
      <c r="H44" s="24" t="s">
        <v>456</v>
      </c>
      <c r="I44" s="24" t="s">
        <v>457</v>
      </c>
      <c r="J44" s="24" t="s">
        <v>458</v>
      </c>
      <c r="K44" s="25" t="s">
        <v>197</v>
      </c>
      <c r="L44" s="25" t="s">
        <v>181</v>
      </c>
      <c r="M44" s="24" t="s">
        <v>319</v>
      </c>
      <c r="N44" s="27" t="s">
        <v>144</v>
      </c>
      <c r="O44" s="24"/>
      <c r="P44" s="24"/>
      <c r="Q44" s="24" t="s">
        <v>459</v>
      </c>
      <c r="R44" s="24">
        <v>72.0</v>
      </c>
    </row>
    <row r="45" ht="15.75" customHeight="1">
      <c r="A45" s="24">
        <v>43.0</v>
      </c>
      <c r="B45" s="24" t="s">
        <v>454</v>
      </c>
      <c r="C45" s="24" t="s">
        <v>380</v>
      </c>
      <c r="D45" s="24" t="s">
        <v>460</v>
      </c>
      <c r="E45" s="24" t="s">
        <v>315</v>
      </c>
      <c r="F45" s="24" t="s">
        <v>382</v>
      </c>
      <c r="G45" s="24">
        <v>550.0</v>
      </c>
      <c r="H45" s="24" t="s">
        <v>461</v>
      </c>
      <c r="I45" s="24" t="s">
        <v>384</v>
      </c>
      <c r="J45" s="24" t="s">
        <v>462</v>
      </c>
      <c r="K45" s="25" t="s">
        <v>29</v>
      </c>
      <c r="L45" s="25" t="s">
        <v>163</v>
      </c>
      <c r="M45" s="24" t="s">
        <v>319</v>
      </c>
      <c r="N45" s="26" t="s">
        <v>132</v>
      </c>
      <c r="O45" s="24" t="s">
        <v>463</v>
      </c>
      <c r="P45" s="24" t="s">
        <v>464</v>
      </c>
      <c r="Q45" s="24"/>
      <c r="R45" s="24">
        <v>73.0</v>
      </c>
    </row>
    <row r="46" ht="15.75" customHeight="1">
      <c r="A46" s="24">
        <v>44.0</v>
      </c>
      <c r="B46" s="24" t="s">
        <v>454</v>
      </c>
      <c r="C46" s="24" t="s">
        <v>380</v>
      </c>
      <c r="D46" s="24" t="s">
        <v>465</v>
      </c>
      <c r="E46" s="24" t="s">
        <v>315</v>
      </c>
      <c r="F46" s="24" t="s">
        <v>382</v>
      </c>
      <c r="G46" s="24">
        <v>551.0</v>
      </c>
      <c r="H46" s="24" t="s">
        <v>461</v>
      </c>
      <c r="I46" s="24" t="s">
        <v>457</v>
      </c>
      <c r="J46" s="24" t="s">
        <v>466</v>
      </c>
      <c r="K46" s="25" t="s">
        <v>197</v>
      </c>
      <c r="L46" s="25" t="s">
        <v>181</v>
      </c>
      <c r="M46" s="24" t="s">
        <v>319</v>
      </c>
      <c r="N46" s="27" t="s">
        <v>144</v>
      </c>
      <c r="O46" s="24"/>
      <c r="P46" s="24"/>
      <c r="Q46" s="24" t="s">
        <v>467</v>
      </c>
      <c r="R46" s="24">
        <v>74.0</v>
      </c>
    </row>
    <row r="47" ht="15.75" customHeight="1">
      <c r="A47" s="24">
        <v>45.0</v>
      </c>
      <c r="B47" s="24" t="s">
        <v>454</v>
      </c>
      <c r="C47" s="24" t="s">
        <v>380</v>
      </c>
      <c r="D47" s="24" t="s">
        <v>468</v>
      </c>
      <c r="E47" s="24" t="s">
        <v>315</v>
      </c>
      <c r="F47" s="24" t="s">
        <v>382</v>
      </c>
      <c r="G47" s="24">
        <v>552.0</v>
      </c>
      <c r="H47" s="24" t="s">
        <v>456</v>
      </c>
      <c r="I47" s="24" t="s">
        <v>457</v>
      </c>
      <c r="J47" s="24"/>
      <c r="K47" s="25" t="s">
        <v>197</v>
      </c>
      <c r="L47" s="25" t="s">
        <v>181</v>
      </c>
      <c r="M47" s="24" t="s">
        <v>319</v>
      </c>
      <c r="N47" s="26" t="s">
        <v>132</v>
      </c>
      <c r="O47" s="24" t="s">
        <v>193</v>
      </c>
      <c r="P47" s="24" t="s">
        <v>469</v>
      </c>
      <c r="Q47" s="24"/>
      <c r="R47" s="24">
        <v>75.0</v>
      </c>
    </row>
    <row r="48" ht="15.75" customHeight="1">
      <c r="A48" s="24">
        <v>46.0</v>
      </c>
      <c r="B48" s="24" t="s">
        <v>454</v>
      </c>
      <c r="C48" s="24" t="s">
        <v>380</v>
      </c>
      <c r="D48" s="24" t="s">
        <v>470</v>
      </c>
      <c r="E48" s="24" t="s">
        <v>315</v>
      </c>
      <c r="F48" s="24" t="s">
        <v>382</v>
      </c>
      <c r="G48" s="24">
        <v>553.0</v>
      </c>
      <c r="H48" s="24" t="s">
        <v>418</v>
      </c>
      <c r="I48" s="24" t="s">
        <v>471</v>
      </c>
      <c r="J48" s="24"/>
      <c r="K48" s="25" t="s">
        <v>29</v>
      </c>
      <c r="L48" s="25" t="s">
        <v>179</v>
      </c>
      <c r="M48" s="24" t="s">
        <v>319</v>
      </c>
      <c r="N48" s="26" t="s">
        <v>132</v>
      </c>
      <c r="O48" s="24" t="s">
        <v>472</v>
      </c>
      <c r="P48" s="24" t="s">
        <v>473</v>
      </c>
      <c r="Q48" s="24"/>
      <c r="R48" s="24">
        <v>76.0</v>
      </c>
    </row>
    <row r="49" ht="15.75" customHeight="1">
      <c r="A49" s="24">
        <v>47.0</v>
      </c>
      <c r="B49" s="24" t="s">
        <v>454</v>
      </c>
      <c r="C49" s="24" t="s">
        <v>380</v>
      </c>
      <c r="D49" s="24" t="s">
        <v>474</v>
      </c>
      <c r="E49" s="24" t="s">
        <v>315</v>
      </c>
      <c r="F49" s="24" t="s">
        <v>382</v>
      </c>
      <c r="G49" s="24">
        <v>554.0</v>
      </c>
      <c r="H49" s="24" t="s">
        <v>418</v>
      </c>
      <c r="I49" s="24" t="s">
        <v>429</v>
      </c>
      <c r="J49" s="24"/>
      <c r="K49" s="25" t="s">
        <v>106</v>
      </c>
      <c r="L49" s="25" t="s">
        <v>182</v>
      </c>
      <c r="M49" s="24" t="s">
        <v>319</v>
      </c>
      <c r="N49" s="26" t="s">
        <v>132</v>
      </c>
      <c r="O49" s="24" t="s">
        <v>191</v>
      </c>
      <c r="P49" s="24" t="s">
        <v>475</v>
      </c>
      <c r="Q49" s="24"/>
      <c r="R49" s="24">
        <v>77.0</v>
      </c>
    </row>
    <row r="50" ht="15.75" customHeight="1">
      <c r="A50" s="24">
        <v>48.0</v>
      </c>
      <c r="B50" s="24" t="s">
        <v>454</v>
      </c>
      <c r="C50" s="24" t="s">
        <v>380</v>
      </c>
      <c r="D50" s="24" t="s">
        <v>476</v>
      </c>
      <c r="E50" s="24" t="s">
        <v>219</v>
      </c>
      <c r="F50" s="24" t="s">
        <v>219</v>
      </c>
      <c r="G50" s="24">
        <v>490.0</v>
      </c>
      <c r="H50" s="24" t="s">
        <v>418</v>
      </c>
      <c r="I50" s="24" t="s">
        <v>429</v>
      </c>
      <c r="J50" s="24"/>
      <c r="K50" s="25" t="s">
        <v>106</v>
      </c>
      <c r="L50" s="25" t="s">
        <v>182</v>
      </c>
      <c r="M50" s="24" t="s">
        <v>319</v>
      </c>
      <c r="N50" s="26" t="s">
        <v>132</v>
      </c>
      <c r="O50" s="24" t="s">
        <v>226</v>
      </c>
      <c r="P50" s="24" t="s">
        <v>477</v>
      </c>
      <c r="Q50" s="24"/>
      <c r="R50" s="24">
        <v>78.0</v>
      </c>
    </row>
    <row r="51" ht="15.75" customHeight="1">
      <c r="A51" s="24">
        <v>49.0</v>
      </c>
      <c r="B51" s="24" t="s">
        <v>478</v>
      </c>
      <c r="C51" s="24" t="s">
        <v>380</v>
      </c>
      <c r="D51" s="24" t="s">
        <v>479</v>
      </c>
      <c r="E51" s="24" t="s">
        <v>315</v>
      </c>
      <c r="F51" s="24" t="s">
        <v>382</v>
      </c>
      <c r="G51" s="24">
        <v>491.0</v>
      </c>
      <c r="H51" s="24" t="s">
        <v>281</v>
      </c>
      <c r="I51" s="24" t="s">
        <v>384</v>
      </c>
      <c r="J51" s="24" t="s">
        <v>480</v>
      </c>
      <c r="K51" s="25" t="s">
        <v>29</v>
      </c>
      <c r="L51" s="25" t="s">
        <v>163</v>
      </c>
      <c r="M51" s="24" t="s">
        <v>319</v>
      </c>
      <c r="N51" s="26" t="s">
        <v>132</v>
      </c>
      <c r="O51" s="24" t="s">
        <v>196</v>
      </c>
      <c r="P51" s="24" t="s">
        <v>481</v>
      </c>
      <c r="Q51" s="24"/>
      <c r="R51" s="24">
        <v>84.0</v>
      </c>
    </row>
    <row r="52" ht="15.75" customHeight="1">
      <c r="A52" s="24">
        <v>50.0</v>
      </c>
      <c r="B52" s="24" t="s">
        <v>478</v>
      </c>
      <c r="C52" s="24" t="s">
        <v>380</v>
      </c>
      <c r="D52" s="24" t="s">
        <v>482</v>
      </c>
      <c r="E52" s="24" t="s">
        <v>315</v>
      </c>
      <c r="F52" s="24" t="s">
        <v>382</v>
      </c>
      <c r="G52" s="24">
        <v>492.0</v>
      </c>
      <c r="H52" s="24" t="s">
        <v>281</v>
      </c>
      <c r="I52" s="24" t="s">
        <v>457</v>
      </c>
      <c r="J52" s="24">
        <v>1.0</v>
      </c>
      <c r="K52" s="25" t="s">
        <v>197</v>
      </c>
      <c r="L52" s="25" t="s">
        <v>181</v>
      </c>
      <c r="M52" s="24" t="s">
        <v>319</v>
      </c>
      <c r="N52" s="26" t="s">
        <v>132</v>
      </c>
      <c r="O52" s="24" t="s">
        <v>199</v>
      </c>
      <c r="P52" s="24" t="s">
        <v>483</v>
      </c>
      <c r="Q52" s="24"/>
      <c r="R52" s="24">
        <v>85.0</v>
      </c>
    </row>
    <row r="53" ht="15.75" customHeight="1">
      <c r="A53" s="24">
        <v>51.0</v>
      </c>
      <c r="B53" s="24" t="s">
        <v>478</v>
      </c>
      <c r="C53" s="24" t="s">
        <v>380</v>
      </c>
      <c r="D53" s="24" t="s">
        <v>484</v>
      </c>
      <c r="E53" s="24" t="s">
        <v>315</v>
      </c>
      <c r="F53" s="24" t="s">
        <v>382</v>
      </c>
      <c r="G53" s="24">
        <v>493.0</v>
      </c>
      <c r="H53" s="24" t="s">
        <v>281</v>
      </c>
      <c r="I53" s="24" t="s">
        <v>384</v>
      </c>
      <c r="J53" s="24"/>
      <c r="K53" s="25" t="s">
        <v>29</v>
      </c>
      <c r="L53" s="25" t="s">
        <v>163</v>
      </c>
      <c r="M53" s="24" t="s">
        <v>319</v>
      </c>
      <c r="N53" s="26" t="s">
        <v>132</v>
      </c>
      <c r="O53" s="24" t="s">
        <v>200</v>
      </c>
      <c r="P53" s="24" t="s">
        <v>485</v>
      </c>
      <c r="Q53" s="24"/>
      <c r="R53" s="24">
        <v>86.0</v>
      </c>
    </row>
    <row r="54" ht="15.75" customHeight="1">
      <c r="A54" s="24">
        <v>52.0</v>
      </c>
      <c r="B54" s="24" t="s">
        <v>478</v>
      </c>
      <c r="C54" s="24" t="s">
        <v>380</v>
      </c>
      <c r="D54" s="24" t="s">
        <v>486</v>
      </c>
      <c r="E54" s="24" t="s">
        <v>315</v>
      </c>
      <c r="F54" s="24" t="s">
        <v>382</v>
      </c>
      <c r="G54" s="24">
        <v>494.0</v>
      </c>
      <c r="H54" s="24" t="s">
        <v>281</v>
      </c>
      <c r="I54" s="24" t="s">
        <v>384</v>
      </c>
      <c r="J54" s="24"/>
      <c r="K54" s="25" t="s">
        <v>29</v>
      </c>
      <c r="L54" s="25" t="s">
        <v>163</v>
      </c>
      <c r="M54" s="24" t="s">
        <v>319</v>
      </c>
      <c r="N54" s="26" t="s">
        <v>132</v>
      </c>
      <c r="O54" s="24" t="s">
        <v>201</v>
      </c>
      <c r="P54" s="24" t="s">
        <v>487</v>
      </c>
      <c r="Q54" s="24"/>
      <c r="R54" s="24">
        <v>87.0</v>
      </c>
    </row>
    <row r="55" ht="15.75" customHeight="1">
      <c r="A55" s="24">
        <v>53.0</v>
      </c>
      <c r="B55" s="24" t="s">
        <v>478</v>
      </c>
      <c r="C55" s="24" t="s">
        <v>380</v>
      </c>
      <c r="D55" s="24" t="s">
        <v>488</v>
      </c>
      <c r="E55" s="24" t="s">
        <v>315</v>
      </c>
      <c r="F55" s="24" t="s">
        <v>382</v>
      </c>
      <c r="G55" s="24">
        <v>495.0</v>
      </c>
      <c r="H55" s="24" t="s">
        <v>281</v>
      </c>
      <c r="I55" s="24" t="s">
        <v>384</v>
      </c>
      <c r="J55" s="24"/>
      <c r="K55" s="25" t="s">
        <v>29</v>
      </c>
      <c r="L55" s="25" t="s">
        <v>163</v>
      </c>
      <c r="M55" s="24" t="s">
        <v>319</v>
      </c>
      <c r="N55" s="26" t="s">
        <v>132</v>
      </c>
      <c r="O55" s="24" t="s">
        <v>202</v>
      </c>
      <c r="P55" s="24" t="s">
        <v>489</v>
      </c>
      <c r="Q55" s="24"/>
      <c r="R55" s="24">
        <v>88.0</v>
      </c>
    </row>
    <row r="56" ht="15.75" customHeight="1">
      <c r="A56" s="24">
        <v>54.0</v>
      </c>
      <c r="B56" s="24" t="s">
        <v>478</v>
      </c>
      <c r="C56" s="24" t="s">
        <v>380</v>
      </c>
      <c r="D56" s="24" t="s">
        <v>490</v>
      </c>
      <c r="E56" s="24" t="s">
        <v>219</v>
      </c>
      <c r="F56" s="24" t="s">
        <v>219</v>
      </c>
      <c r="G56" s="24">
        <v>178.0</v>
      </c>
      <c r="H56" s="24"/>
      <c r="I56" s="24"/>
      <c r="J56" s="24"/>
      <c r="K56" s="25" t="s">
        <v>197</v>
      </c>
      <c r="L56" s="25" t="s">
        <v>181</v>
      </c>
      <c r="M56" s="24" t="s">
        <v>491</v>
      </c>
      <c r="N56" s="26" t="s">
        <v>132</v>
      </c>
      <c r="O56" s="24" t="s">
        <v>232</v>
      </c>
      <c r="P56" s="24" t="s">
        <v>492</v>
      </c>
      <c r="Q56" s="24"/>
      <c r="R56" s="24">
        <v>89.0</v>
      </c>
    </row>
    <row r="57" ht="15.75" customHeight="1">
      <c r="A57" s="24">
        <v>55.0</v>
      </c>
      <c r="B57" s="24" t="s">
        <v>493</v>
      </c>
      <c r="C57" s="24" t="s">
        <v>494</v>
      </c>
      <c r="D57" s="24" t="s">
        <v>495</v>
      </c>
      <c r="E57" s="24" t="s">
        <v>496</v>
      </c>
      <c r="F57" s="24" t="s">
        <v>497</v>
      </c>
      <c r="G57" s="24"/>
      <c r="H57" s="24"/>
      <c r="I57" s="24"/>
      <c r="J57" s="24"/>
      <c r="K57" s="28" t="s">
        <v>390</v>
      </c>
      <c r="L57" s="28" t="s">
        <v>498</v>
      </c>
      <c r="M57" s="24" t="s">
        <v>303</v>
      </c>
      <c r="N57" s="27" t="s">
        <v>144</v>
      </c>
      <c r="O57" s="24"/>
      <c r="P57" s="24"/>
      <c r="Q57" s="24" t="s">
        <v>499</v>
      </c>
      <c r="R57" s="24">
        <v>95.0</v>
      </c>
    </row>
    <row r="58" ht="15.75" customHeight="1">
      <c r="A58" s="24">
        <v>56.0</v>
      </c>
      <c r="B58" s="24" t="s">
        <v>493</v>
      </c>
      <c r="C58" s="24" t="s">
        <v>494</v>
      </c>
      <c r="D58" s="24" t="s">
        <v>500</v>
      </c>
      <c r="E58" s="24" t="s">
        <v>496</v>
      </c>
      <c r="F58" s="24" t="s">
        <v>497</v>
      </c>
      <c r="G58" s="24"/>
      <c r="H58" s="24"/>
      <c r="I58" s="24"/>
      <c r="J58" s="24"/>
      <c r="K58" s="28" t="s">
        <v>390</v>
      </c>
      <c r="L58" s="28" t="s">
        <v>498</v>
      </c>
      <c r="M58" s="24" t="s">
        <v>303</v>
      </c>
      <c r="N58" s="27" t="s">
        <v>144</v>
      </c>
      <c r="O58" s="24"/>
      <c r="P58" s="24"/>
      <c r="Q58" s="24" t="s">
        <v>499</v>
      </c>
      <c r="R58" s="24">
        <v>96.0</v>
      </c>
    </row>
    <row r="59" ht="15.75" customHeight="1">
      <c r="A59" s="24">
        <v>57.0</v>
      </c>
      <c r="B59" s="24" t="s">
        <v>493</v>
      </c>
      <c r="C59" s="24" t="s">
        <v>494</v>
      </c>
      <c r="D59" s="24" t="s">
        <v>501</v>
      </c>
      <c r="E59" s="24" t="s">
        <v>496</v>
      </c>
      <c r="F59" s="24" t="s">
        <v>497</v>
      </c>
      <c r="G59" s="24"/>
      <c r="H59" s="24"/>
      <c r="I59" s="24"/>
      <c r="J59" s="24"/>
      <c r="K59" s="28" t="s">
        <v>390</v>
      </c>
      <c r="L59" s="28" t="s">
        <v>498</v>
      </c>
      <c r="M59" s="24" t="s">
        <v>303</v>
      </c>
      <c r="N59" s="27" t="s">
        <v>144</v>
      </c>
      <c r="O59" s="24"/>
      <c r="P59" s="24"/>
      <c r="Q59" s="24" t="s">
        <v>499</v>
      </c>
      <c r="R59" s="24">
        <v>97.0</v>
      </c>
    </row>
    <row r="60" ht="15.75" customHeight="1">
      <c r="A60" s="24">
        <v>58.0</v>
      </c>
      <c r="B60" s="24" t="s">
        <v>493</v>
      </c>
      <c r="C60" s="24" t="s">
        <v>494</v>
      </c>
      <c r="D60" s="24" t="s">
        <v>502</v>
      </c>
      <c r="E60" s="24" t="s">
        <v>496</v>
      </c>
      <c r="F60" s="24" t="s">
        <v>497</v>
      </c>
      <c r="G60" s="24"/>
      <c r="H60" s="24"/>
      <c r="I60" s="24"/>
      <c r="J60" s="24"/>
      <c r="K60" s="28" t="s">
        <v>390</v>
      </c>
      <c r="L60" s="28" t="s">
        <v>498</v>
      </c>
      <c r="M60" s="24" t="s">
        <v>303</v>
      </c>
      <c r="N60" s="27" t="s">
        <v>144</v>
      </c>
      <c r="O60" s="24"/>
      <c r="P60" s="24"/>
      <c r="Q60" s="24" t="s">
        <v>499</v>
      </c>
      <c r="R60" s="24">
        <v>98.0</v>
      </c>
    </row>
    <row r="61" ht="15.75" customHeight="1">
      <c r="A61" s="24">
        <v>59.0</v>
      </c>
      <c r="B61" s="24" t="s">
        <v>493</v>
      </c>
      <c r="C61" s="24" t="s">
        <v>494</v>
      </c>
      <c r="D61" s="24" t="s">
        <v>503</v>
      </c>
      <c r="E61" s="24" t="s">
        <v>496</v>
      </c>
      <c r="F61" s="24" t="s">
        <v>497</v>
      </c>
      <c r="G61" s="24"/>
      <c r="H61" s="24"/>
      <c r="I61" s="24"/>
      <c r="J61" s="24"/>
      <c r="K61" s="28" t="s">
        <v>390</v>
      </c>
      <c r="L61" s="28" t="s">
        <v>498</v>
      </c>
      <c r="M61" s="24" t="s">
        <v>303</v>
      </c>
      <c r="N61" s="27" t="s">
        <v>144</v>
      </c>
      <c r="O61" s="24"/>
      <c r="P61" s="24"/>
      <c r="Q61" s="24" t="s">
        <v>499</v>
      </c>
      <c r="R61" s="24">
        <v>99.0</v>
      </c>
    </row>
    <row r="62" ht="15.75" customHeight="1">
      <c r="A62" s="24">
        <v>60.0</v>
      </c>
      <c r="B62" s="24" t="s">
        <v>493</v>
      </c>
      <c r="C62" s="24" t="s">
        <v>494</v>
      </c>
      <c r="D62" s="24" t="s">
        <v>504</v>
      </c>
      <c r="E62" s="24" t="s">
        <v>496</v>
      </c>
      <c r="F62" s="24" t="s">
        <v>497</v>
      </c>
      <c r="G62" s="24"/>
      <c r="H62" s="24"/>
      <c r="I62" s="24"/>
      <c r="J62" s="24"/>
      <c r="K62" s="28" t="s">
        <v>390</v>
      </c>
      <c r="L62" s="28" t="s">
        <v>498</v>
      </c>
      <c r="M62" s="24" t="s">
        <v>303</v>
      </c>
      <c r="N62" s="27" t="s">
        <v>144</v>
      </c>
      <c r="O62" s="24"/>
      <c r="P62" s="24"/>
      <c r="Q62" s="24" t="s">
        <v>499</v>
      </c>
      <c r="R62" s="24">
        <v>100.0</v>
      </c>
    </row>
    <row r="63" ht="15.75" customHeight="1">
      <c r="A63" s="24">
        <v>61.0</v>
      </c>
      <c r="B63" s="24" t="s">
        <v>493</v>
      </c>
      <c r="C63" s="24" t="s">
        <v>505</v>
      </c>
      <c r="D63" s="24" t="s">
        <v>506</v>
      </c>
      <c r="E63" s="24" t="s">
        <v>315</v>
      </c>
      <c r="F63" s="24" t="s">
        <v>316</v>
      </c>
      <c r="G63" s="24">
        <v>496.0</v>
      </c>
      <c r="H63" s="24" t="s">
        <v>302</v>
      </c>
      <c r="I63" s="24" t="s">
        <v>507</v>
      </c>
      <c r="J63" s="24"/>
      <c r="K63" s="25" t="s">
        <v>64</v>
      </c>
      <c r="L63" s="25" t="s">
        <v>153</v>
      </c>
      <c r="M63" s="24" t="s">
        <v>319</v>
      </c>
      <c r="N63" s="29" t="s">
        <v>100</v>
      </c>
      <c r="O63" s="24" t="s">
        <v>178</v>
      </c>
      <c r="P63" s="24" t="s">
        <v>508</v>
      </c>
      <c r="Q63" s="24"/>
      <c r="R63" s="24">
        <v>104.0</v>
      </c>
    </row>
    <row r="64" ht="15.75" customHeight="1">
      <c r="A64" s="24">
        <v>62.0</v>
      </c>
      <c r="B64" s="24" t="s">
        <v>493</v>
      </c>
      <c r="C64" s="24" t="s">
        <v>505</v>
      </c>
      <c r="D64" s="24" t="s">
        <v>509</v>
      </c>
      <c r="E64" s="24" t="s">
        <v>315</v>
      </c>
      <c r="F64" s="24" t="s">
        <v>316</v>
      </c>
      <c r="G64" s="24">
        <v>497.0</v>
      </c>
      <c r="H64" s="24" t="s">
        <v>302</v>
      </c>
      <c r="I64" s="24" t="s">
        <v>507</v>
      </c>
      <c r="J64" s="24"/>
      <c r="K64" s="25" t="s">
        <v>64</v>
      </c>
      <c r="L64" s="25" t="s">
        <v>153</v>
      </c>
      <c r="M64" s="24" t="s">
        <v>319</v>
      </c>
      <c r="N64" s="29" t="s">
        <v>100</v>
      </c>
      <c r="O64" s="24" t="s">
        <v>154</v>
      </c>
      <c r="P64" s="24" t="s">
        <v>510</v>
      </c>
      <c r="Q64" s="24"/>
      <c r="R64" s="24">
        <v>105.0</v>
      </c>
    </row>
    <row r="65" ht="15.75" customHeight="1">
      <c r="A65" s="24">
        <v>63.0</v>
      </c>
      <c r="B65" s="24" t="s">
        <v>493</v>
      </c>
      <c r="C65" s="24" t="s">
        <v>505</v>
      </c>
      <c r="D65" s="24" t="s">
        <v>511</v>
      </c>
      <c r="E65" s="24" t="s">
        <v>315</v>
      </c>
      <c r="F65" s="24" t="s">
        <v>316</v>
      </c>
      <c r="G65" s="24">
        <v>498.0</v>
      </c>
      <c r="H65" s="24" t="s">
        <v>512</v>
      </c>
      <c r="I65" s="24" t="s">
        <v>513</v>
      </c>
      <c r="J65" s="24"/>
      <c r="K65" s="25" t="s">
        <v>197</v>
      </c>
      <c r="L65" s="25" t="s">
        <v>180</v>
      </c>
      <c r="M65" s="24" t="s">
        <v>319</v>
      </c>
      <c r="N65" s="29" t="s">
        <v>100</v>
      </c>
      <c r="O65" s="24" t="s">
        <v>155</v>
      </c>
      <c r="P65" s="24" t="s">
        <v>514</v>
      </c>
      <c r="Q65" s="24"/>
      <c r="R65" s="24">
        <v>106.0</v>
      </c>
    </row>
    <row r="66" ht="15.75" customHeight="1">
      <c r="A66" s="24">
        <v>64.0</v>
      </c>
      <c r="B66" s="24" t="s">
        <v>493</v>
      </c>
      <c r="C66" s="24" t="s">
        <v>505</v>
      </c>
      <c r="D66" s="24" t="s">
        <v>515</v>
      </c>
      <c r="E66" s="24" t="s">
        <v>315</v>
      </c>
      <c r="F66" s="24" t="s">
        <v>316</v>
      </c>
      <c r="G66" s="24">
        <v>499.0</v>
      </c>
      <c r="H66" s="24" t="s">
        <v>512</v>
      </c>
      <c r="I66" s="24" t="s">
        <v>507</v>
      </c>
      <c r="J66" s="24"/>
      <c r="K66" s="25" t="s">
        <v>64</v>
      </c>
      <c r="L66" s="25" t="s">
        <v>153</v>
      </c>
      <c r="M66" s="24" t="s">
        <v>319</v>
      </c>
      <c r="N66" s="29" t="s">
        <v>100</v>
      </c>
      <c r="O66" s="24" t="s">
        <v>165</v>
      </c>
      <c r="P66" s="24" t="s">
        <v>516</v>
      </c>
      <c r="Q66" s="24"/>
      <c r="R66" s="24">
        <v>107.0</v>
      </c>
    </row>
    <row r="67" ht="15.75" customHeight="1">
      <c r="A67" s="24">
        <v>65.0</v>
      </c>
      <c r="B67" s="24" t="s">
        <v>493</v>
      </c>
      <c r="C67" s="24" t="s">
        <v>505</v>
      </c>
      <c r="D67" s="24" t="s">
        <v>517</v>
      </c>
      <c r="E67" s="24" t="s">
        <v>315</v>
      </c>
      <c r="F67" s="24" t="s">
        <v>316</v>
      </c>
      <c r="G67" s="24">
        <v>500.0</v>
      </c>
      <c r="H67" s="24" t="s">
        <v>512</v>
      </c>
      <c r="I67" s="24" t="s">
        <v>507</v>
      </c>
      <c r="J67" s="24"/>
      <c r="K67" s="25" t="s">
        <v>64</v>
      </c>
      <c r="L67" s="25" t="s">
        <v>153</v>
      </c>
      <c r="M67" s="24" t="s">
        <v>319</v>
      </c>
      <c r="N67" s="29" t="s">
        <v>100</v>
      </c>
      <c r="O67" s="24" t="s">
        <v>151</v>
      </c>
      <c r="P67" s="24" t="s">
        <v>518</v>
      </c>
      <c r="Q67" s="24"/>
      <c r="R67" s="24">
        <v>108.0</v>
      </c>
    </row>
    <row r="68" ht="15.75" customHeight="1">
      <c r="A68" s="24">
        <v>66.0</v>
      </c>
      <c r="B68" s="24" t="s">
        <v>493</v>
      </c>
      <c r="C68" s="24" t="s">
        <v>505</v>
      </c>
      <c r="D68" s="24" t="s">
        <v>519</v>
      </c>
      <c r="E68" s="24" t="s">
        <v>315</v>
      </c>
      <c r="F68" s="24" t="s">
        <v>316</v>
      </c>
      <c r="G68" s="24">
        <v>501.0</v>
      </c>
      <c r="H68" s="24" t="s">
        <v>512</v>
      </c>
      <c r="I68" s="24" t="s">
        <v>513</v>
      </c>
      <c r="J68" s="24"/>
      <c r="K68" s="25" t="s">
        <v>197</v>
      </c>
      <c r="L68" s="25" t="s">
        <v>180</v>
      </c>
      <c r="M68" s="24" t="s">
        <v>319</v>
      </c>
      <c r="N68" s="29" t="s">
        <v>100</v>
      </c>
      <c r="O68" s="24" t="s">
        <v>157</v>
      </c>
      <c r="P68" s="24" t="s">
        <v>520</v>
      </c>
      <c r="Q68" s="24"/>
      <c r="R68" s="24">
        <v>109.0</v>
      </c>
    </row>
    <row r="69" ht="15.75" customHeight="1">
      <c r="A69" s="24">
        <v>67.0</v>
      </c>
      <c r="B69" s="24" t="s">
        <v>493</v>
      </c>
      <c r="C69" s="24" t="s">
        <v>505</v>
      </c>
      <c r="D69" s="24" t="s">
        <v>521</v>
      </c>
      <c r="E69" s="24" t="s">
        <v>315</v>
      </c>
      <c r="F69" s="24" t="s">
        <v>316</v>
      </c>
      <c r="G69" s="24">
        <v>502.0</v>
      </c>
      <c r="H69" s="24" t="s">
        <v>512</v>
      </c>
      <c r="I69" s="24" t="s">
        <v>507</v>
      </c>
      <c r="J69" s="24"/>
      <c r="K69" s="25" t="s">
        <v>64</v>
      </c>
      <c r="L69" s="25" t="s">
        <v>153</v>
      </c>
      <c r="M69" s="24" t="s">
        <v>319</v>
      </c>
      <c r="N69" s="29" t="s">
        <v>100</v>
      </c>
      <c r="O69" s="24" t="s">
        <v>166</v>
      </c>
      <c r="P69" s="24" t="s">
        <v>522</v>
      </c>
      <c r="Q69" s="24"/>
      <c r="R69" s="24">
        <v>110.0</v>
      </c>
    </row>
    <row r="70" ht="15.75" customHeight="1">
      <c r="A70" s="24">
        <v>68.0</v>
      </c>
      <c r="B70" s="24" t="s">
        <v>493</v>
      </c>
      <c r="C70" s="24" t="s">
        <v>505</v>
      </c>
      <c r="D70" s="24" t="s">
        <v>523</v>
      </c>
      <c r="E70" s="24" t="s">
        <v>315</v>
      </c>
      <c r="F70" s="24" t="s">
        <v>316</v>
      </c>
      <c r="G70" s="24">
        <v>503.0</v>
      </c>
      <c r="H70" s="24" t="s">
        <v>512</v>
      </c>
      <c r="I70" s="24" t="s">
        <v>507</v>
      </c>
      <c r="J70" s="24"/>
      <c r="K70" s="25" t="s">
        <v>64</v>
      </c>
      <c r="L70" s="25" t="s">
        <v>153</v>
      </c>
      <c r="M70" s="24" t="s">
        <v>319</v>
      </c>
      <c r="N70" s="29" t="s">
        <v>100</v>
      </c>
      <c r="O70" s="24" t="s">
        <v>170</v>
      </c>
      <c r="P70" s="24" t="s">
        <v>524</v>
      </c>
      <c r="Q70" s="24"/>
      <c r="R70" s="24">
        <v>111.0</v>
      </c>
    </row>
    <row r="71" ht="15.75" customHeight="1">
      <c r="A71" s="24">
        <v>69.0</v>
      </c>
      <c r="B71" s="24" t="s">
        <v>493</v>
      </c>
      <c r="C71" s="24" t="s">
        <v>505</v>
      </c>
      <c r="D71" s="24" t="s">
        <v>525</v>
      </c>
      <c r="E71" s="24" t="s">
        <v>315</v>
      </c>
      <c r="F71" s="24" t="s">
        <v>316</v>
      </c>
      <c r="G71" s="24">
        <v>504.0</v>
      </c>
      <c r="H71" s="24" t="s">
        <v>512</v>
      </c>
      <c r="I71" s="24" t="s">
        <v>507</v>
      </c>
      <c r="J71" s="24"/>
      <c r="K71" s="25" t="s">
        <v>64</v>
      </c>
      <c r="L71" s="25" t="s">
        <v>153</v>
      </c>
      <c r="M71" s="24" t="s">
        <v>319</v>
      </c>
      <c r="N71" s="29" t="s">
        <v>100</v>
      </c>
      <c r="O71" s="24" t="s">
        <v>175</v>
      </c>
      <c r="P71" s="24" t="s">
        <v>526</v>
      </c>
      <c r="Q71" s="24"/>
      <c r="R71" s="24">
        <v>112.0</v>
      </c>
    </row>
    <row r="72" ht="15.75" customHeight="1">
      <c r="A72" s="24">
        <v>70.0</v>
      </c>
      <c r="B72" s="24" t="s">
        <v>493</v>
      </c>
      <c r="C72" s="24" t="s">
        <v>505</v>
      </c>
      <c r="D72" s="24" t="s">
        <v>527</v>
      </c>
      <c r="E72" s="24" t="s">
        <v>315</v>
      </c>
      <c r="F72" s="24" t="s">
        <v>316</v>
      </c>
      <c r="G72" s="24">
        <v>505.0</v>
      </c>
      <c r="H72" s="24" t="s">
        <v>512</v>
      </c>
      <c r="I72" s="24" t="s">
        <v>513</v>
      </c>
      <c r="J72" s="24" t="s">
        <v>528</v>
      </c>
      <c r="K72" s="25" t="s">
        <v>197</v>
      </c>
      <c r="L72" s="25" t="s">
        <v>180</v>
      </c>
      <c r="M72" s="24" t="s">
        <v>319</v>
      </c>
      <c r="N72" s="27" t="s">
        <v>144</v>
      </c>
      <c r="O72" s="24"/>
      <c r="P72" s="24"/>
      <c r="Q72" s="24" t="s">
        <v>529</v>
      </c>
      <c r="R72" s="24">
        <v>113.0</v>
      </c>
    </row>
    <row r="73" ht="15.75" customHeight="1">
      <c r="A73" s="24">
        <v>71.0</v>
      </c>
      <c r="B73" s="24" t="s">
        <v>493</v>
      </c>
      <c r="C73" s="24" t="s">
        <v>505</v>
      </c>
      <c r="D73" s="24" t="s">
        <v>530</v>
      </c>
      <c r="E73" s="24" t="s">
        <v>315</v>
      </c>
      <c r="F73" s="24" t="s">
        <v>316</v>
      </c>
      <c r="G73" s="24">
        <v>506.0</v>
      </c>
      <c r="H73" s="24" t="s">
        <v>512</v>
      </c>
      <c r="I73" s="24" t="s">
        <v>507</v>
      </c>
      <c r="J73" s="24" t="s">
        <v>528</v>
      </c>
      <c r="K73" s="25" t="s">
        <v>64</v>
      </c>
      <c r="L73" s="25" t="s">
        <v>153</v>
      </c>
      <c r="M73" s="24" t="s">
        <v>319</v>
      </c>
      <c r="N73" s="27" t="s">
        <v>144</v>
      </c>
      <c r="O73" s="24"/>
      <c r="P73" s="24"/>
      <c r="Q73" s="24" t="s">
        <v>531</v>
      </c>
      <c r="R73" s="24">
        <v>114.0</v>
      </c>
    </row>
    <row r="74" ht="15.75" customHeight="1">
      <c r="A74" s="24">
        <v>72.0</v>
      </c>
      <c r="B74" s="24" t="s">
        <v>493</v>
      </c>
      <c r="C74" s="24" t="s">
        <v>505</v>
      </c>
      <c r="D74" s="24" t="s">
        <v>532</v>
      </c>
      <c r="E74" s="24" t="s">
        <v>315</v>
      </c>
      <c r="F74" s="24" t="s">
        <v>316</v>
      </c>
      <c r="G74" s="24">
        <v>507.0</v>
      </c>
      <c r="H74" s="24" t="s">
        <v>512</v>
      </c>
      <c r="I74" s="24" t="s">
        <v>507</v>
      </c>
      <c r="J74" s="24" t="s">
        <v>528</v>
      </c>
      <c r="K74" s="25" t="s">
        <v>64</v>
      </c>
      <c r="L74" s="25" t="s">
        <v>153</v>
      </c>
      <c r="M74" s="24" t="s">
        <v>319</v>
      </c>
      <c r="N74" s="27" t="s">
        <v>144</v>
      </c>
      <c r="O74" s="24"/>
      <c r="P74" s="24"/>
      <c r="Q74" s="24" t="s">
        <v>531</v>
      </c>
      <c r="R74" s="24">
        <v>115.0</v>
      </c>
    </row>
    <row r="75" ht="15.75" customHeight="1">
      <c r="A75" s="24">
        <v>73.0</v>
      </c>
      <c r="B75" s="24" t="s">
        <v>493</v>
      </c>
      <c r="C75" s="24" t="s">
        <v>505</v>
      </c>
      <c r="D75" s="24" t="s">
        <v>533</v>
      </c>
      <c r="E75" s="24" t="s">
        <v>315</v>
      </c>
      <c r="F75" s="24" t="s">
        <v>316</v>
      </c>
      <c r="G75" s="24">
        <v>508.0</v>
      </c>
      <c r="H75" s="24" t="s">
        <v>512</v>
      </c>
      <c r="I75" s="24" t="s">
        <v>513</v>
      </c>
      <c r="J75" s="24"/>
      <c r="K75" s="25" t="s">
        <v>197</v>
      </c>
      <c r="L75" s="25" t="s">
        <v>180</v>
      </c>
      <c r="M75" s="24" t="s">
        <v>319</v>
      </c>
      <c r="N75" s="29" t="s">
        <v>100</v>
      </c>
      <c r="O75" s="24" t="s">
        <v>160</v>
      </c>
      <c r="P75" s="24" t="s">
        <v>534</v>
      </c>
      <c r="Q75" s="24"/>
      <c r="R75" s="24">
        <v>116.0</v>
      </c>
    </row>
    <row r="76" ht="15.75" customHeight="1">
      <c r="A76" s="24">
        <v>74.0</v>
      </c>
      <c r="B76" s="24" t="s">
        <v>493</v>
      </c>
      <c r="C76" s="24" t="s">
        <v>505</v>
      </c>
      <c r="D76" s="24" t="s">
        <v>535</v>
      </c>
      <c r="E76" s="24" t="s">
        <v>315</v>
      </c>
      <c r="F76" s="24" t="s">
        <v>316</v>
      </c>
      <c r="G76" s="24">
        <v>509.0</v>
      </c>
      <c r="H76" s="24" t="s">
        <v>512</v>
      </c>
      <c r="I76" s="24" t="s">
        <v>507</v>
      </c>
      <c r="J76" s="24"/>
      <c r="K76" s="25" t="s">
        <v>64</v>
      </c>
      <c r="L76" s="25" t="s">
        <v>153</v>
      </c>
      <c r="M76" s="24" t="s">
        <v>319</v>
      </c>
      <c r="N76" s="29" t="s">
        <v>100</v>
      </c>
      <c r="O76" s="24" t="s">
        <v>174</v>
      </c>
      <c r="P76" s="24" t="s">
        <v>536</v>
      </c>
      <c r="Q76" s="24" t="s">
        <v>537</v>
      </c>
      <c r="R76" s="24">
        <v>117.0</v>
      </c>
    </row>
    <row r="77" ht="15.75" customHeight="1">
      <c r="A77" s="24">
        <v>75.0</v>
      </c>
      <c r="B77" s="24" t="s">
        <v>493</v>
      </c>
      <c r="C77" s="24" t="s">
        <v>505</v>
      </c>
      <c r="D77" s="24" t="s">
        <v>538</v>
      </c>
      <c r="E77" s="24" t="s">
        <v>315</v>
      </c>
      <c r="F77" s="24" t="s">
        <v>316</v>
      </c>
      <c r="G77" s="24">
        <v>510.0</v>
      </c>
      <c r="H77" s="24" t="s">
        <v>512</v>
      </c>
      <c r="I77" s="24" t="s">
        <v>507</v>
      </c>
      <c r="J77" s="24"/>
      <c r="K77" s="25" t="s">
        <v>64</v>
      </c>
      <c r="L77" s="25" t="s">
        <v>153</v>
      </c>
      <c r="M77" s="24" t="s">
        <v>319</v>
      </c>
      <c r="N77" s="26" t="s">
        <v>132</v>
      </c>
      <c r="O77" s="24" t="s">
        <v>177</v>
      </c>
      <c r="P77" s="24" t="s">
        <v>539</v>
      </c>
      <c r="Q77" s="24" t="s">
        <v>540</v>
      </c>
      <c r="R77" s="24">
        <v>118.0</v>
      </c>
    </row>
    <row r="78" ht="15.75" customHeight="1">
      <c r="A78" s="24">
        <v>76.0</v>
      </c>
      <c r="B78" s="24" t="s">
        <v>493</v>
      </c>
      <c r="C78" s="24" t="s">
        <v>505</v>
      </c>
      <c r="D78" s="24" t="s">
        <v>541</v>
      </c>
      <c r="E78" s="24" t="s">
        <v>315</v>
      </c>
      <c r="F78" s="24" t="s">
        <v>316</v>
      </c>
      <c r="G78" s="24">
        <v>511.0</v>
      </c>
      <c r="H78" s="24" t="s">
        <v>512</v>
      </c>
      <c r="I78" s="24" t="s">
        <v>507</v>
      </c>
      <c r="J78" s="24"/>
      <c r="K78" s="25" t="s">
        <v>64</v>
      </c>
      <c r="L78" s="25" t="s">
        <v>153</v>
      </c>
      <c r="M78" s="24" t="s">
        <v>319</v>
      </c>
      <c r="N78" s="29" t="s">
        <v>100</v>
      </c>
      <c r="O78" s="24" t="s">
        <v>171</v>
      </c>
      <c r="P78" s="24" t="s">
        <v>542</v>
      </c>
      <c r="Q78" s="24" t="s">
        <v>543</v>
      </c>
      <c r="R78" s="24">
        <v>119.0</v>
      </c>
    </row>
    <row r="79" ht="15.75" customHeight="1">
      <c r="A79" s="24">
        <v>77.0</v>
      </c>
      <c r="B79" s="24" t="s">
        <v>493</v>
      </c>
      <c r="C79" s="24" t="s">
        <v>505</v>
      </c>
      <c r="D79" s="24" t="s">
        <v>544</v>
      </c>
      <c r="E79" s="24" t="s">
        <v>315</v>
      </c>
      <c r="F79" s="24" t="s">
        <v>316</v>
      </c>
      <c r="G79" s="24">
        <v>512.0</v>
      </c>
      <c r="H79" s="24" t="s">
        <v>512</v>
      </c>
      <c r="I79" s="24" t="s">
        <v>507</v>
      </c>
      <c r="J79" s="24"/>
      <c r="K79" s="25" t="s">
        <v>64</v>
      </c>
      <c r="L79" s="25" t="s">
        <v>153</v>
      </c>
      <c r="M79" s="24" t="s">
        <v>319</v>
      </c>
      <c r="N79" s="29" t="s">
        <v>100</v>
      </c>
      <c r="O79" s="24" t="s">
        <v>173</v>
      </c>
      <c r="P79" s="24" t="s">
        <v>545</v>
      </c>
      <c r="Q79" s="24"/>
      <c r="R79" s="24">
        <v>120.0</v>
      </c>
    </row>
    <row r="80" ht="15.75" customHeight="1">
      <c r="A80" s="24">
        <v>78.0</v>
      </c>
      <c r="B80" s="24" t="s">
        <v>493</v>
      </c>
      <c r="C80" s="24" t="s">
        <v>505</v>
      </c>
      <c r="D80" s="24" t="s">
        <v>546</v>
      </c>
      <c r="E80" s="24" t="s">
        <v>315</v>
      </c>
      <c r="F80" s="24" t="s">
        <v>316</v>
      </c>
      <c r="G80" s="24">
        <v>513.0</v>
      </c>
      <c r="H80" s="24" t="s">
        <v>512</v>
      </c>
      <c r="I80" s="24" t="s">
        <v>507</v>
      </c>
      <c r="J80" s="24"/>
      <c r="K80" s="25" t="s">
        <v>64</v>
      </c>
      <c r="L80" s="25" t="s">
        <v>153</v>
      </c>
      <c r="M80" s="24" t="s">
        <v>319</v>
      </c>
      <c r="N80" s="29" t="s">
        <v>100</v>
      </c>
      <c r="O80" s="24" t="s">
        <v>172</v>
      </c>
      <c r="P80" s="24" t="s">
        <v>547</v>
      </c>
      <c r="Q80" s="24"/>
      <c r="R80" s="24">
        <v>121.0</v>
      </c>
    </row>
    <row r="81" ht="15.75" customHeight="1">
      <c r="A81" s="24">
        <v>79.0</v>
      </c>
      <c r="B81" s="24" t="s">
        <v>493</v>
      </c>
      <c r="C81" s="24" t="s">
        <v>505</v>
      </c>
      <c r="D81" s="24" t="s">
        <v>548</v>
      </c>
      <c r="E81" s="24" t="s">
        <v>315</v>
      </c>
      <c r="F81" s="24" t="s">
        <v>316</v>
      </c>
      <c r="G81" s="24">
        <v>514.0</v>
      </c>
      <c r="H81" s="24" t="s">
        <v>512</v>
      </c>
      <c r="I81" s="24" t="s">
        <v>507</v>
      </c>
      <c r="J81" s="24"/>
      <c r="K81" s="25" t="s">
        <v>64</v>
      </c>
      <c r="L81" s="25" t="s">
        <v>153</v>
      </c>
      <c r="M81" s="24" t="s">
        <v>319</v>
      </c>
      <c r="N81" s="29" t="s">
        <v>100</v>
      </c>
      <c r="O81" s="24" t="s">
        <v>168</v>
      </c>
      <c r="P81" s="24" t="s">
        <v>549</v>
      </c>
      <c r="Q81" s="24"/>
      <c r="R81" s="24">
        <v>122.0</v>
      </c>
    </row>
    <row r="82" ht="15.75" customHeight="1">
      <c r="A82" s="24">
        <v>80.0</v>
      </c>
      <c r="B82" s="24" t="s">
        <v>493</v>
      </c>
      <c r="C82" s="24" t="s">
        <v>505</v>
      </c>
      <c r="D82" s="24" t="s">
        <v>550</v>
      </c>
      <c r="E82" s="24" t="s">
        <v>315</v>
      </c>
      <c r="F82" s="24" t="s">
        <v>316</v>
      </c>
      <c r="G82" s="24">
        <v>515.0</v>
      </c>
      <c r="H82" s="24" t="s">
        <v>512</v>
      </c>
      <c r="I82" s="24" t="s">
        <v>507</v>
      </c>
      <c r="J82" s="24"/>
      <c r="K82" s="25" t="s">
        <v>64</v>
      </c>
      <c r="L82" s="25" t="s">
        <v>153</v>
      </c>
      <c r="M82" s="24" t="s">
        <v>319</v>
      </c>
      <c r="N82" s="29" t="s">
        <v>100</v>
      </c>
      <c r="O82" s="24" t="s">
        <v>167</v>
      </c>
      <c r="P82" s="24" t="s">
        <v>551</v>
      </c>
      <c r="Q82" s="24"/>
      <c r="R82" s="24">
        <v>123.0</v>
      </c>
    </row>
    <row r="83" ht="15.75" customHeight="1">
      <c r="A83" s="24">
        <v>81.0</v>
      </c>
      <c r="B83" s="24" t="s">
        <v>493</v>
      </c>
      <c r="C83" s="24" t="s">
        <v>505</v>
      </c>
      <c r="D83" s="24" t="s">
        <v>552</v>
      </c>
      <c r="E83" s="24" t="s">
        <v>315</v>
      </c>
      <c r="F83" s="24" t="s">
        <v>316</v>
      </c>
      <c r="G83" s="24">
        <v>516.0</v>
      </c>
      <c r="H83" s="24" t="s">
        <v>302</v>
      </c>
      <c r="I83" s="24" t="s">
        <v>389</v>
      </c>
      <c r="J83" s="24"/>
      <c r="K83" s="28" t="s">
        <v>390</v>
      </c>
      <c r="L83" s="28" t="s">
        <v>391</v>
      </c>
      <c r="M83" s="24" t="s">
        <v>392</v>
      </c>
      <c r="N83" s="26" t="s">
        <v>132</v>
      </c>
      <c r="O83" s="24" t="s">
        <v>169</v>
      </c>
      <c r="P83" s="24" t="s">
        <v>553</v>
      </c>
      <c r="Q83" s="24" t="s">
        <v>554</v>
      </c>
      <c r="R83" s="24">
        <v>124.0</v>
      </c>
    </row>
    <row r="84" ht="15.75" customHeight="1">
      <c r="A84" s="24">
        <v>82.0</v>
      </c>
      <c r="B84" s="24" t="s">
        <v>493</v>
      </c>
      <c r="C84" s="24" t="s">
        <v>505</v>
      </c>
      <c r="D84" s="24" t="s">
        <v>555</v>
      </c>
      <c r="E84" s="24" t="s">
        <v>315</v>
      </c>
      <c r="F84" s="24" t="s">
        <v>316</v>
      </c>
      <c r="G84" s="24">
        <v>517.0</v>
      </c>
      <c r="H84" s="24" t="s">
        <v>556</v>
      </c>
      <c r="I84" s="24" t="s">
        <v>384</v>
      </c>
      <c r="J84" s="24"/>
      <c r="K84" s="25" t="s">
        <v>29</v>
      </c>
      <c r="L84" s="25" t="s">
        <v>163</v>
      </c>
      <c r="M84" s="24" t="s">
        <v>319</v>
      </c>
      <c r="N84" s="29" t="s">
        <v>100</v>
      </c>
      <c r="O84" s="24" t="s">
        <v>161</v>
      </c>
      <c r="P84" s="24" t="s">
        <v>557</v>
      </c>
      <c r="Q84" s="24" t="s">
        <v>558</v>
      </c>
      <c r="R84" s="24">
        <v>125.0</v>
      </c>
    </row>
    <row r="85" ht="15.75" customHeight="1">
      <c r="A85" s="24">
        <v>83.0</v>
      </c>
      <c r="B85" s="24" t="s">
        <v>493</v>
      </c>
      <c r="C85" s="24" t="s">
        <v>505</v>
      </c>
      <c r="D85" s="24" t="s">
        <v>559</v>
      </c>
      <c r="E85" s="24" t="s">
        <v>315</v>
      </c>
      <c r="F85" s="24" t="s">
        <v>316</v>
      </c>
      <c r="G85" s="24">
        <v>518.0</v>
      </c>
      <c r="H85" s="24" t="s">
        <v>556</v>
      </c>
      <c r="I85" s="24" t="s">
        <v>384</v>
      </c>
      <c r="J85" s="24" t="s">
        <v>559</v>
      </c>
      <c r="K85" s="25" t="s">
        <v>29</v>
      </c>
      <c r="L85" s="25" t="s">
        <v>163</v>
      </c>
      <c r="M85" s="24" t="s">
        <v>319</v>
      </c>
      <c r="N85" s="26" t="s">
        <v>132</v>
      </c>
      <c r="O85" s="24" t="s">
        <v>164</v>
      </c>
      <c r="P85" s="24" t="s">
        <v>560</v>
      </c>
      <c r="Q85" s="24" t="s">
        <v>561</v>
      </c>
      <c r="R85" s="24">
        <v>126.0</v>
      </c>
    </row>
    <row r="86" ht="15.75" customHeight="1">
      <c r="A86" s="24">
        <v>84.0</v>
      </c>
      <c r="B86" s="24" t="s">
        <v>493</v>
      </c>
      <c r="C86" s="24" t="s">
        <v>505</v>
      </c>
      <c r="D86" s="24" t="s">
        <v>562</v>
      </c>
      <c r="E86" s="24" t="s">
        <v>219</v>
      </c>
      <c r="F86" s="24" t="s">
        <v>219</v>
      </c>
      <c r="G86" s="24">
        <v>524.0</v>
      </c>
      <c r="H86" s="24" t="s">
        <v>302</v>
      </c>
      <c r="I86" s="24"/>
      <c r="J86" s="24"/>
      <c r="K86" s="25" t="s">
        <v>64</v>
      </c>
      <c r="L86" s="25" t="s">
        <v>153</v>
      </c>
      <c r="M86" s="24" t="s">
        <v>303</v>
      </c>
      <c r="N86" s="26" t="s">
        <v>132</v>
      </c>
      <c r="O86" s="24" t="s">
        <v>224</v>
      </c>
      <c r="P86" s="24" t="s">
        <v>563</v>
      </c>
      <c r="Q86" s="24"/>
      <c r="R86" s="24">
        <v>127.0</v>
      </c>
    </row>
    <row r="87" ht="15.75" customHeight="1">
      <c r="A87" s="24">
        <v>85.0</v>
      </c>
      <c r="B87" s="24" t="s">
        <v>564</v>
      </c>
      <c r="C87" s="24" t="s">
        <v>380</v>
      </c>
      <c r="D87" s="24" t="s">
        <v>565</v>
      </c>
      <c r="E87" s="24" t="s">
        <v>315</v>
      </c>
      <c r="F87" s="24" t="s">
        <v>316</v>
      </c>
      <c r="G87" s="24">
        <v>519.0</v>
      </c>
      <c r="H87" s="24" t="s">
        <v>566</v>
      </c>
      <c r="I87" s="24"/>
      <c r="J87" s="24"/>
      <c r="K87" s="25" t="s">
        <v>29</v>
      </c>
      <c r="L87" s="25" t="s">
        <v>41</v>
      </c>
      <c r="M87" s="24" t="s">
        <v>568</v>
      </c>
      <c r="N87" s="27" t="s">
        <v>144</v>
      </c>
      <c r="O87" s="24"/>
      <c r="P87" s="24"/>
      <c r="Q87" s="24" t="s">
        <v>569</v>
      </c>
      <c r="R87" s="24">
        <v>134.0</v>
      </c>
    </row>
    <row r="88" ht="15.75" customHeight="1">
      <c r="A88" s="24">
        <v>86.0</v>
      </c>
      <c r="B88" s="24" t="s">
        <v>564</v>
      </c>
      <c r="C88" s="24" t="s">
        <v>380</v>
      </c>
      <c r="D88" s="24" t="s">
        <v>571</v>
      </c>
      <c r="E88" s="24" t="s">
        <v>315</v>
      </c>
      <c r="F88" s="24" t="s">
        <v>316</v>
      </c>
      <c r="G88" s="24">
        <v>555.0</v>
      </c>
      <c r="H88" s="24" t="s">
        <v>566</v>
      </c>
      <c r="I88" s="24"/>
      <c r="J88" s="24"/>
      <c r="K88" s="28" t="s">
        <v>390</v>
      </c>
      <c r="L88" s="28" t="s">
        <v>573</v>
      </c>
      <c r="M88" s="24" t="s">
        <v>303</v>
      </c>
      <c r="N88" s="27" t="s">
        <v>144</v>
      </c>
      <c r="O88" s="24"/>
      <c r="P88" s="24"/>
      <c r="Q88" s="24" t="s">
        <v>569</v>
      </c>
      <c r="R88" s="24">
        <v>135.0</v>
      </c>
    </row>
    <row r="89" ht="15.75" customHeight="1">
      <c r="A89" s="24">
        <v>87.0</v>
      </c>
      <c r="B89" s="24" t="s">
        <v>564</v>
      </c>
      <c r="C89" s="24" t="s">
        <v>380</v>
      </c>
      <c r="D89" s="24" t="s">
        <v>574</v>
      </c>
      <c r="E89" s="24" t="s">
        <v>315</v>
      </c>
      <c r="F89" s="24" t="s">
        <v>316</v>
      </c>
      <c r="G89" s="24">
        <v>521.0</v>
      </c>
      <c r="H89" s="24" t="s">
        <v>566</v>
      </c>
      <c r="I89" s="24"/>
      <c r="J89" s="24"/>
      <c r="K89" s="28" t="s">
        <v>390</v>
      </c>
      <c r="L89" s="28" t="s">
        <v>573</v>
      </c>
      <c r="M89" s="24" t="s">
        <v>303</v>
      </c>
      <c r="N89" s="27" t="s">
        <v>144</v>
      </c>
      <c r="O89" s="24"/>
      <c r="P89" s="24"/>
      <c r="Q89" s="24" t="s">
        <v>569</v>
      </c>
      <c r="R89" s="24">
        <v>136.0</v>
      </c>
    </row>
    <row r="90" ht="15.75" customHeight="1">
      <c r="A90" s="24">
        <v>88.0</v>
      </c>
      <c r="B90" s="24" t="s">
        <v>564</v>
      </c>
      <c r="C90" s="24" t="s">
        <v>380</v>
      </c>
      <c r="D90" s="24" t="s">
        <v>575</v>
      </c>
      <c r="E90" s="24" t="s">
        <v>315</v>
      </c>
      <c r="F90" s="24" t="s">
        <v>316</v>
      </c>
      <c r="G90" s="24">
        <v>557.0</v>
      </c>
      <c r="H90" s="24" t="s">
        <v>566</v>
      </c>
      <c r="I90" s="24"/>
      <c r="J90" s="24" t="s">
        <v>576</v>
      </c>
      <c r="K90" s="28" t="s">
        <v>390</v>
      </c>
      <c r="L90" s="28" t="s">
        <v>577</v>
      </c>
      <c r="M90" s="24" t="s">
        <v>303</v>
      </c>
      <c r="N90" s="27" t="s">
        <v>144</v>
      </c>
      <c r="O90" s="24"/>
      <c r="P90" s="24"/>
      <c r="Q90" s="24" t="s">
        <v>579</v>
      </c>
      <c r="R90" s="24">
        <v>137.0</v>
      </c>
    </row>
    <row r="91" ht="15.75" customHeight="1">
      <c r="A91" s="24">
        <v>89.0</v>
      </c>
      <c r="B91" s="24" t="s">
        <v>564</v>
      </c>
      <c r="C91" s="24" t="s">
        <v>380</v>
      </c>
      <c r="D91" s="24" t="s">
        <v>581</v>
      </c>
      <c r="E91" s="24" t="s">
        <v>315</v>
      </c>
      <c r="F91" s="24" t="s">
        <v>316</v>
      </c>
      <c r="G91" s="24">
        <v>558.0</v>
      </c>
      <c r="H91" s="24" t="s">
        <v>566</v>
      </c>
      <c r="I91" s="24"/>
      <c r="J91" s="24"/>
      <c r="K91" s="28" t="s">
        <v>390</v>
      </c>
      <c r="L91" s="28" t="s">
        <v>582</v>
      </c>
      <c r="M91" s="24" t="s">
        <v>303</v>
      </c>
      <c r="N91" s="27" t="s">
        <v>144</v>
      </c>
      <c r="O91" s="24"/>
      <c r="P91" s="24"/>
      <c r="Q91" s="24" t="s">
        <v>583</v>
      </c>
      <c r="R91" s="24">
        <v>138.0</v>
      </c>
    </row>
    <row r="92" ht="15.75" customHeight="1">
      <c r="A92" s="24">
        <v>90.0</v>
      </c>
      <c r="B92" s="24" t="s">
        <v>564</v>
      </c>
      <c r="C92" s="24" t="s">
        <v>380</v>
      </c>
      <c r="D92" s="24" t="s">
        <v>585</v>
      </c>
      <c r="E92" s="24" t="s">
        <v>219</v>
      </c>
      <c r="F92" s="24" t="s">
        <v>219</v>
      </c>
      <c r="G92" s="24">
        <v>525.0</v>
      </c>
      <c r="H92" s="24" t="s">
        <v>566</v>
      </c>
      <c r="I92" s="24"/>
      <c r="J92" s="24"/>
      <c r="K92" s="28" t="s">
        <v>390</v>
      </c>
      <c r="L92" s="28" t="s">
        <v>573</v>
      </c>
      <c r="M92" s="24" t="s">
        <v>303</v>
      </c>
      <c r="N92" s="27" t="s">
        <v>144</v>
      </c>
      <c r="O92" s="24"/>
      <c r="P92" s="24"/>
      <c r="Q92" s="24" t="s">
        <v>569</v>
      </c>
      <c r="R92" s="24">
        <v>139.0</v>
      </c>
    </row>
    <row r="93" ht="15.75" customHeight="1">
      <c r="A93" s="24">
        <v>91.0</v>
      </c>
      <c r="B93" s="24" t="s">
        <v>588</v>
      </c>
      <c r="C93" s="24"/>
      <c r="D93" s="24" t="s">
        <v>589</v>
      </c>
      <c r="E93" s="24" t="s">
        <v>369</v>
      </c>
      <c r="F93" s="24" t="s">
        <v>370</v>
      </c>
      <c r="G93" s="24">
        <v>466.0</v>
      </c>
      <c r="H93" s="24" t="s">
        <v>383</v>
      </c>
      <c r="I93" s="24" t="s">
        <v>384</v>
      </c>
      <c r="J93" s="24"/>
      <c r="K93" s="25" t="s">
        <v>29</v>
      </c>
      <c r="L93" s="25" t="s">
        <v>163</v>
      </c>
      <c r="M93" s="24" t="s">
        <v>319</v>
      </c>
      <c r="N93" s="27" t="s">
        <v>144</v>
      </c>
      <c r="O93" s="24"/>
      <c r="P93" s="24"/>
      <c r="Q93" s="24" t="s">
        <v>591</v>
      </c>
      <c r="R93" s="24">
        <v>143.0</v>
      </c>
    </row>
    <row r="94" ht="15.75" customHeight="1">
      <c r="A94" s="24">
        <v>92.0</v>
      </c>
      <c r="B94" s="24" t="s">
        <v>588</v>
      </c>
      <c r="C94" s="24"/>
      <c r="D94" s="24" t="s">
        <v>593</v>
      </c>
      <c r="E94" s="24" t="s">
        <v>369</v>
      </c>
      <c r="F94" s="24" t="s">
        <v>370</v>
      </c>
      <c r="G94" s="24">
        <v>468.0</v>
      </c>
      <c r="H94" s="24" t="s">
        <v>383</v>
      </c>
      <c r="I94" s="24" t="s">
        <v>389</v>
      </c>
      <c r="J94" s="24"/>
      <c r="K94" s="28" t="s">
        <v>390</v>
      </c>
      <c r="L94" s="28" t="s">
        <v>391</v>
      </c>
      <c r="M94" s="24" t="s">
        <v>392</v>
      </c>
      <c r="N94" s="26" t="s">
        <v>132</v>
      </c>
      <c r="O94" s="24" t="s">
        <v>124</v>
      </c>
      <c r="P94" s="24" t="s">
        <v>393</v>
      </c>
      <c r="Q94" s="24" t="s">
        <v>595</v>
      </c>
      <c r="R94" s="24">
        <v>144.0</v>
      </c>
    </row>
    <row r="95" ht="15.75" customHeight="1">
      <c r="A95" s="24">
        <v>93.0</v>
      </c>
      <c r="B95" s="24" t="s">
        <v>588</v>
      </c>
      <c r="C95" s="24"/>
      <c r="D95" s="24" t="s">
        <v>599</v>
      </c>
      <c r="E95" s="24" t="s">
        <v>369</v>
      </c>
      <c r="F95" s="24" t="s">
        <v>370</v>
      </c>
      <c r="G95" s="24">
        <v>472.0</v>
      </c>
      <c r="H95" s="24" t="s">
        <v>383</v>
      </c>
      <c r="I95" s="24" t="s">
        <v>389</v>
      </c>
      <c r="J95" s="24"/>
      <c r="K95" s="28" t="s">
        <v>390</v>
      </c>
      <c r="L95" s="28" t="s">
        <v>391</v>
      </c>
      <c r="M95" s="24" t="s">
        <v>392</v>
      </c>
      <c r="N95" s="27" t="s">
        <v>144</v>
      </c>
      <c r="O95" s="24"/>
      <c r="P95" s="24"/>
      <c r="Q95" s="24" t="s">
        <v>602</v>
      </c>
      <c r="R95" s="24">
        <v>145.0</v>
      </c>
    </row>
    <row r="96" ht="15.75" customHeight="1">
      <c r="A96" s="24">
        <v>94.0</v>
      </c>
      <c r="B96" s="24" t="s">
        <v>588</v>
      </c>
      <c r="C96" s="24"/>
      <c r="D96" s="24" t="s">
        <v>603</v>
      </c>
      <c r="E96" s="24" t="s">
        <v>369</v>
      </c>
      <c r="F96" s="24" t="s">
        <v>370</v>
      </c>
      <c r="G96" s="24">
        <v>473.0</v>
      </c>
      <c r="H96" s="24" t="s">
        <v>383</v>
      </c>
      <c r="I96" s="24" t="s">
        <v>389</v>
      </c>
      <c r="J96" s="24"/>
      <c r="K96" s="28" t="s">
        <v>390</v>
      </c>
      <c r="L96" s="28" t="s">
        <v>391</v>
      </c>
      <c r="M96" s="24" t="s">
        <v>392</v>
      </c>
      <c r="N96" s="27" t="s">
        <v>144</v>
      </c>
      <c r="O96" s="24"/>
      <c r="P96" s="24"/>
      <c r="Q96" s="24" t="s">
        <v>606</v>
      </c>
      <c r="R96" s="24">
        <v>146.0</v>
      </c>
    </row>
    <row r="97" ht="15.75" customHeight="1">
      <c r="A97" s="24">
        <v>95.0</v>
      </c>
      <c r="B97" s="24" t="s">
        <v>588</v>
      </c>
      <c r="C97" s="24"/>
      <c r="D97" s="24" t="s">
        <v>607</v>
      </c>
      <c r="E97" s="24" t="s">
        <v>369</v>
      </c>
      <c r="F97" s="24" t="s">
        <v>370</v>
      </c>
      <c r="G97" s="24">
        <v>474.0</v>
      </c>
      <c r="H97" s="24" t="s">
        <v>383</v>
      </c>
      <c r="I97" s="24" t="s">
        <v>389</v>
      </c>
      <c r="J97" s="24" t="s">
        <v>610</v>
      </c>
      <c r="K97" s="28" t="s">
        <v>390</v>
      </c>
      <c r="L97" s="28" t="s">
        <v>391</v>
      </c>
      <c r="M97" s="24" t="s">
        <v>392</v>
      </c>
      <c r="N97" s="26" t="s">
        <v>132</v>
      </c>
      <c r="O97" s="24" t="s">
        <v>76</v>
      </c>
      <c r="P97" s="24" t="s">
        <v>409</v>
      </c>
      <c r="Q97" s="24" t="s">
        <v>613</v>
      </c>
      <c r="R97" s="24">
        <v>147.0</v>
      </c>
    </row>
    <row r="98" ht="15.75" customHeight="1">
      <c r="A98" s="24">
        <v>96.0</v>
      </c>
      <c r="B98" s="24" t="s">
        <v>588</v>
      </c>
      <c r="C98" s="24"/>
      <c r="D98" s="24" t="s">
        <v>614</v>
      </c>
      <c r="E98" s="24" t="s">
        <v>219</v>
      </c>
      <c r="F98" s="24" t="s">
        <v>219</v>
      </c>
      <c r="G98" s="24">
        <v>246.0</v>
      </c>
      <c r="H98" s="24" t="s">
        <v>302</v>
      </c>
      <c r="I98" s="24" t="s">
        <v>389</v>
      </c>
      <c r="J98" s="24"/>
      <c r="K98" s="28" t="s">
        <v>390</v>
      </c>
      <c r="L98" s="28" t="s">
        <v>391</v>
      </c>
      <c r="M98" s="24" t="s">
        <v>392</v>
      </c>
      <c r="N98" s="27" t="s">
        <v>144</v>
      </c>
      <c r="O98" s="24"/>
      <c r="P98" s="24"/>
      <c r="Q98" s="24" t="s">
        <v>617</v>
      </c>
      <c r="R98" s="24">
        <v>148.0</v>
      </c>
    </row>
    <row r="99" ht="15.75" customHeight="1">
      <c r="A99" s="24">
        <v>97.0</v>
      </c>
      <c r="B99" s="24" t="s">
        <v>618</v>
      </c>
      <c r="C99" s="24"/>
      <c r="D99" s="24" t="s">
        <v>620</v>
      </c>
      <c r="E99" s="24" t="s">
        <v>369</v>
      </c>
      <c r="F99" s="24" t="s">
        <v>370</v>
      </c>
      <c r="G99" s="24">
        <v>471.0</v>
      </c>
      <c r="H99" s="24" t="s">
        <v>383</v>
      </c>
      <c r="I99" s="24" t="s">
        <v>317</v>
      </c>
      <c r="J99" s="24" t="s">
        <v>401</v>
      </c>
      <c r="K99" s="25" t="s">
        <v>29</v>
      </c>
      <c r="L99" s="25" t="s">
        <v>41</v>
      </c>
      <c r="M99" s="24" t="s">
        <v>319</v>
      </c>
      <c r="N99" s="26" t="s">
        <v>132</v>
      </c>
      <c r="O99" s="24" t="s">
        <v>80</v>
      </c>
      <c r="P99" s="24" t="s">
        <v>623</v>
      </c>
      <c r="Q99" s="24"/>
      <c r="R99" s="24">
        <v>152.0</v>
      </c>
    </row>
    <row r="100" ht="15.75" customHeight="1">
      <c r="A100" s="24">
        <v>98.0</v>
      </c>
      <c r="B100" s="24" t="s">
        <v>618</v>
      </c>
      <c r="C100" s="24"/>
      <c r="D100" s="24" t="s">
        <v>625</v>
      </c>
      <c r="E100" s="24" t="s">
        <v>369</v>
      </c>
      <c r="F100" s="24" t="s">
        <v>370</v>
      </c>
      <c r="G100" s="24">
        <v>526.0</v>
      </c>
      <c r="H100" s="24" t="s">
        <v>383</v>
      </c>
      <c r="I100" s="24" t="s">
        <v>317</v>
      </c>
      <c r="J100" s="24" t="s">
        <v>626</v>
      </c>
      <c r="K100" s="25" t="s">
        <v>29</v>
      </c>
      <c r="L100" s="25" t="s">
        <v>41</v>
      </c>
      <c r="M100" s="24" t="s">
        <v>319</v>
      </c>
      <c r="N100" s="26" t="s">
        <v>132</v>
      </c>
      <c r="O100" s="24" t="s">
        <v>43</v>
      </c>
      <c r="P100" s="24" t="s">
        <v>627</v>
      </c>
      <c r="Q100" s="24"/>
      <c r="R100" s="24">
        <v>153.0</v>
      </c>
    </row>
    <row r="101" ht="15.75" customHeight="1">
      <c r="A101" s="24">
        <v>99.0</v>
      </c>
      <c r="B101" s="24" t="s">
        <v>618</v>
      </c>
      <c r="C101" s="24"/>
      <c r="D101" s="24" t="s">
        <v>628</v>
      </c>
      <c r="E101" s="24" t="s">
        <v>369</v>
      </c>
      <c r="F101" s="24" t="s">
        <v>370</v>
      </c>
      <c r="G101" s="24">
        <v>529.0</v>
      </c>
      <c r="H101" s="24"/>
      <c r="I101" s="24"/>
      <c r="J101" s="24" t="s">
        <v>629</v>
      </c>
      <c r="K101" s="25" t="s">
        <v>29</v>
      </c>
      <c r="L101" s="25" t="s">
        <v>41</v>
      </c>
      <c r="M101" s="24" t="s">
        <v>630</v>
      </c>
      <c r="N101" s="26" t="s">
        <v>132</v>
      </c>
      <c r="O101" s="24" t="s">
        <v>22</v>
      </c>
      <c r="P101" s="24" t="s">
        <v>631</v>
      </c>
      <c r="Q101" s="24"/>
      <c r="R101" s="24">
        <v>154.0</v>
      </c>
    </row>
    <row r="102" ht="15.75" customHeight="1">
      <c r="A102" s="24">
        <v>100.0</v>
      </c>
      <c r="B102" s="24" t="s">
        <v>618</v>
      </c>
      <c r="C102" s="24"/>
      <c r="D102" s="24" t="s">
        <v>632</v>
      </c>
      <c r="E102" s="24" t="s">
        <v>369</v>
      </c>
      <c r="F102" s="24" t="s">
        <v>370</v>
      </c>
      <c r="G102" s="24">
        <v>533.0</v>
      </c>
      <c r="H102" s="24"/>
      <c r="I102" s="24"/>
      <c r="J102" s="24" t="s">
        <v>633</v>
      </c>
      <c r="K102" s="25" t="s">
        <v>29</v>
      </c>
      <c r="L102" s="25" t="s">
        <v>41</v>
      </c>
      <c r="M102" s="24" t="s">
        <v>630</v>
      </c>
      <c r="N102" s="26" t="s">
        <v>132</v>
      </c>
      <c r="O102" s="24" t="s">
        <v>54</v>
      </c>
      <c r="P102" s="24" t="s">
        <v>634</v>
      </c>
      <c r="Q102" s="24"/>
      <c r="R102" s="24">
        <v>155.0</v>
      </c>
    </row>
    <row r="103" ht="15.75" customHeight="1">
      <c r="A103" s="24">
        <v>101.0</v>
      </c>
      <c r="B103" s="24" t="s">
        <v>618</v>
      </c>
      <c r="C103" s="24"/>
      <c r="D103" s="24" t="s">
        <v>635</v>
      </c>
      <c r="E103" s="24" t="s">
        <v>219</v>
      </c>
      <c r="F103" s="24" t="s">
        <v>219</v>
      </c>
      <c r="G103" s="24">
        <v>536.0</v>
      </c>
      <c r="H103" s="24"/>
      <c r="I103" s="24"/>
      <c r="J103" s="24"/>
      <c r="K103" s="25" t="s">
        <v>29</v>
      </c>
      <c r="L103" s="25" t="s">
        <v>41</v>
      </c>
      <c r="M103" s="24" t="s">
        <v>630</v>
      </c>
      <c r="N103" s="26" t="s">
        <v>132</v>
      </c>
      <c r="O103" s="24" t="s">
        <v>218</v>
      </c>
      <c r="P103" s="24" t="s">
        <v>636</v>
      </c>
      <c r="Q103" s="24"/>
      <c r="R103" s="24">
        <v>156.0</v>
      </c>
    </row>
    <row r="104" ht="15.75" customHeight="1">
      <c r="A104" s="24">
        <v>102.0</v>
      </c>
      <c r="B104" s="24" t="s">
        <v>637</v>
      </c>
      <c r="C104" s="24"/>
      <c r="D104" s="24" t="s">
        <v>638</v>
      </c>
      <c r="E104" s="24" t="s">
        <v>369</v>
      </c>
      <c r="F104" s="24" t="s">
        <v>370</v>
      </c>
      <c r="G104" s="24">
        <v>470.0</v>
      </c>
      <c r="H104" s="24" t="s">
        <v>383</v>
      </c>
      <c r="I104" s="24" t="s">
        <v>317</v>
      </c>
      <c r="J104" s="24" t="s">
        <v>639</v>
      </c>
      <c r="K104" s="25" t="s">
        <v>29</v>
      </c>
      <c r="L104" s="25" t="s">
        <v>41</v>
      </c>
      <c r="M104" s="24" t="s">
        <v>319</v>
      </c>
      <c r="N104" s="26" t="s">
        <v>132</v>
      </c>
      <c r="O104" s="24" t="s">
        <v>207</v>
      </c>
      <c r="P104" s="24" t="s">
        <v>640</v>
      </c>
      <c r="Q104" s="24"/>
      <c r="R104" s="24">
        <v>160.0</v>
      </c>
    </row>
    <row r="105" ht="15.75" customHeight="1">
      <c r="A105" s="24">
        <v>103.0</v>
      </c>
      <c r="B105" s="24" t="s">
        <v>637</v>
      </c>
      <c r="C105" s="24"/>
      <c r="D105" s="24" t="s">
        <v>641</v>
      </c>
      <c r="E105" s="24" t="s">
        <v>369</v>
      </c>
      <c r="F105" s="24" t="s">
        <v>370</v>
      </c>
      <c r="G105" s="24">
        <v>527.0</v>
      </c>
      <c r="H105" s="24" t="s">
        <v>383</v>
      </c>
      <c r="I105" s="24"/>
      <c r="J105" s="24" t="s">
        <v>642</v>
      </c>
      <c r="K105" s="25" t="s">
        <v>29</v>
      </c>
      <c r="L105" s="25" t="s">
        <v>41</v>
      </c>
      <c r="M105" s="24" t="s">
        <v>643</v>
      </c>
      <c r="N105" s="26" t="s">
        <v>132</v>
      </c>
      <c r="O105" s="24" t="s">
        <v>203</v>
      </c>
      <c r="P105" s="24" t="s">
        <v>644</v>
      </c>
      <c r="Q105" s="24"/>
      <c r="R105" s="24">
        <v>161.0</v>
      </c>
    </row>
    <row r="106" ht="15.75" customHeight="1">
      <c r="A106" s="24">
        <v>104.0</v>
      </c>
      <c r="B106" s="24" t="s">
        <v>637</v>
      </c>
      <c r="C106" s="24"/>
      <c r="D106" s="24" t="s">
        <v>645</v>
      </c>
      <c r="E106" s="24" t="s">
        <v>369</v>
      </c>
      <c r="F106" s="24" t="s">
        <v>370</v>
      </c>
      <c r="G106" s="24">
        <v>528.0</v>
      </c>
      <c r="H106" s="24" t="s">
        <v>383</v>
      </c>
      <c r="I106" s="24"/>
      <c r="J106" s="24" t="s">
        <v>646</v>
      </c>
      <c r="K106" s="25" t="s">
        <v>29</v>
      </c>
      <c r="L106" s="25" t="s">
        <v>41</v>
      </c>
      <c r="M106" s="24" t="s">
        <v>643</v>
      </c>
      <c r="N106" s="26" t="s">
        <v>132</v>
      </c>
      <c r="O106" s="24" t="s">
        <v>206</v>
      </c>
      <c r="P106" s="24" t="s">
        <v>647</v>
      </c>
      <c r="Q106" s="24"/>
      <c r="R106" s="24">
        <v>162.0</v>
      </c>
    </row>
    <row r="107" ht="15.75" customHeight="1">
      <c r="A107" s="24">
        <v>105.0</v>
      </c>
      <c r="B107" s="24" t="s">
        <v>637</v>
      </c>
      <c r="C107" s="24"/>
      <c r="D107" s="24" t="s">
        <v>648</v>
      </c>
      <c r="E107" s="24" t="s">
        <v>219</v>
      </c>
      <c r="F107" s="24" t="s">
        <v>219</v>
      </c>
      <c r="G107" s="24">
        <v>530.0</v>
      </c>
      <c r="H107" s="24" t="s">
        <v>383</v>
      </c>
      <c r="I107" s="24"/>
      <c r="J107" s="24"/>
      <c r="K107" s="25" t="s">
        <v>29</v>
      </c>
      <c r="L107" s="25" t="s">
        <v>41</v>
      </c>
      <c r="M107" s="24" t="s">
        <v>643</v>
      </c>
      <c r="N107" s="26" t="s">
        <v>132</v>
      </c>
      <c r="O107" s="24" t="s">
        <v>234</v>
      </c>
      <c r="P107" s="24" t="s">
        <v>649</v>
      </c>
      <c r="Q107" s="24"/>
      <c r="R107" s="24">
        <v>163.0</v>
      </c>
    </row>
    <row r="108" ht="15.75" customHeight="1">
      <c r="A108" s="24">
        <v>106.0</v>
      </c>
      <c r="B108" s="24" t="s">
        <v>650</v>
      </c>
      <c r="C108" s="24"/>
      <c r="D108" s="24" t="s">
        <v>651</v>
      </c>
      <c r="E108" s="24" t="s">
        <v>369</v>
      </c>
      <c r="F108" s="24" t="s">
        <v>370</v>
      </c>
      <c r="G108" s="24">
        <v>537.0</v>
      </c>
      <c r="H108" s="24" t="s">
        <v>383</v>
      </c>
      <c r="I108" s="24"/>
      <c r="J108" s="24"/>
      <c r="K108" s="25" t="s">
        <v>29</v>
      </c>
      <c r="L108" s="25" t="s">
        <v>41</v>
      </c>
      <c r="M108" s="24" t="s">
        <v>652</v>
      </c>
      <c r="N108" s="26" t="s">
        <v>132</v>
      </c>
      <c r="O108" s="24" t="s">
        <v>216</v>
      </c>
      <c r="P108" s="24" t="s">
        <v>653</v>
      </c>
      <c r="Q108" s="24"/>
      <c r="R108" s="24">
        <v>167.0</v>
      </c>
    </row>
    <row r="109" ht="15.75" customHeight="1">
      <c r="A109" s="24">
        <v>107.0</v>
      </c>
      <c r="B109" s="24" t="s">
        <v>650</v>
      </c>
      <c r="C109" s="24"/>
      <c r="D109" s="24" t="s">
        <v>654</v>
      </c>
      <c r="E109" s="24" t="s">
        <v>369</v>
      </c>
      <c r="F109" s="24" t="s">
        <v>370</v>
      </c>
      <c r="G109" s="24">
        <v>538.0</v>
      </c>
      <c r="H109" s="24"/>
      <c r="I109" s="24"/>
      <c r="J109" s="24" t="s">
        <v>655</v>
      </c>
      <c r="K109" s="25" t="s">
        <v>29</v>
      </c>
      <c r="L109" s="25" t="s">
        <v>41</v>
      </c>
      <c r="M109" s="24" t="s">
        <v>656</v>
      </c>
      <c r="N109" s="26" t="s">
        <v>132</v>
      </c>
      <c r="O109" s="24" t="s">
        <v>213</v>
      </c>
      <c r="P109" s="24" t="s">
        <v>657</v>
      </c>
      <c r="Q109" s="24"/>
      <c r="R109" s="24">
        <v>168.0</v>
      </c>
    </row>
    <row r="110" ht="15.75" customHeight="1">
      <c r="A110" s="24">
        <v>108.0</v>
      </c>
      <c r="B110" s="24" t="s">
        <v>650</v>
      </c>
      <c r="C110" s="24"/>
      <c r="D110" s="24" t="s">
        <v>658</v>
      </c>
      <c r="E110" s="24" t="s">
        <v>369</v>
      </c>
      <c r="F110" s="24" t="s">
        <v>370</v>
      </c>
      <c r="G110" s="24">
        <v>540.0</v>
      </c>
      <c r="H110" s="24"/>
      <c r="I110" s="24"/>
      <c r="J110" s="24" t="s">
        <v>659</v>
      </c>
      <c r="K110" s="25" t="s">
        <v>29</v>
      </c>
      <c r="L110" s="25" t="s">
        <v>41</v>
      </c>
      <c r="M110" s="24" t="s">
        <v>656</v>
      </c>
      <c r="N110" s="26" t="s">
        <v>132</v>
      </c>
      <c r="O110" s="24" t="s">
        <v>215</v>
      </c>
      <c r="P110" s="24" t="s">
        <v>660</v>
      </c>
      <c r="Q110" s="24"/>
      <c r="R110" s="24">
        <v>169.0</v>
      </c>
    </row>
    <row r="111" ht="15.75" customHeight="1">
      <c r="A111" s="24">
        <v>109.0</v>
      </c>
      <c r="B111" s="24" t="s">
        <v>650</v>
      </c>
      <c r="C111" s="24"/>
      <c r="D111" s="24" t="s">
        <v>661</v>
      </c>
      <c r="E111" s="24" t="s">
        <v>219</v>
      </c>
      <c r="F111" s="24" t="s">
        <v>219</v>
      </c>
      <c r="G111" s="24">
        <v>535.0</v>
      </c>
      <c r="H111" s="24"/>
      <c r="I111" s="24"/>
      <c r="J111" s="24"/>
      <c r="K111" s="25" t="s">
        <v>29</v>
      </c>
      <c r="L111" s="25" t="s">
        <v>41</v>
      </c>
      <c r="M111" s="24" t="s">
        <v>656</v>
      </c>
      <c r="N111" s="26" t="s">
        <v>132</v>
      </c>
      <c r="O111" s="24" t="s">
        <v>236</v>
      </c>
      <c r="P111" s="24" t="s">
        <v>662</v>
      </c>
      <c r="Q111" s="24"/>
      <c r="R111" s="24">
        <v>170.0</v>
      </c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</sheetData>
  <autoFilter ref="$A$2:$R$111"/>
  <mergeCells count="1">
    <mergeCell ref="A1:R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6.86"/>
    <col customWidth="1" min="2" max="2" width="34.0"/>
    <col customWidth="1" min="3" max="3" width="10.57"/>
    <col customWidth="1" min="4" max="4" width="83.86"/>
  </cols>
  <sheetData>
    <row r="1" ht="42.0" customHeight="1">
      <c r="A1" s="30" t="s">
        <v>567</v>
      </c>
      <c r="B1" s="30" t="s">
        <v>570</v>
      </c>
      <c r="C1" s="30" t="s">
        <v>572</v>
      </c>
      <c r="D1" s="30" t="s">
        <v>93</v>
      </c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42.0" customHeight="1">
      <c r="A2" s="32" t="s">
        <v>578</v>
      </c>
      <c r="B2" s="33" t="s">
        <v>580</v>
      </c>
      <c r="C2" s="32">
        <v>1.0</v>
      </c>
      <c r="D2" s="32" t="s">
        <v>584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42.0" customHeight="1">
      <c r="A3" s="32" t="s">
        <v>586</v>
      </c>
      <c r="B3" s="34" t="s">
        <v>587</v>
      </c>
      <c r="C3" s="32">
        <v>0.0</v>
      </c>
      <c r="D3" s="32" t="s">
        <v>590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42.0" customHeight="1">
      <c r="A4" s="31"/>
      <c r="B4" s="35" t="s">
        <v>592</v>
      </c>
      <c r="C4" s="32">
        <v>1.0</v>
      </c>
      <c r="D4" s="32" t="s">
        <v>594</v>
      </c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42.0" customHeight="1">
      <c r="A5" s="32" t="s">
        <v>596</v>
      </c>
      <c r="B5" s="33" t="s">
        <v>597</v>
      </c>
      <c r="C5" s="32">
        <v>29.0</v>
      </c>
      <c r="D5" s="32" t="s">
        <v>598</v>
      </c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42.0" customHeight="1">
      <c r="A6" s="31"/>
      <c r="B6" s="33" t="s">
        <v>600</v>
      </c>
      <c r="C6" s="32">
        <v>1.0</v>
      </c>
      <c r="D6" s="32" t="s">
        <v>601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42.0" customHeight="1">
      <c r="A7" s="31"/>
      <c r="B7" s="33" t="s">
        <v>604</v>
      </c>
      <c r="C7" s="32">
        <v>3.0</v>
      </c>
      <c r="D7" s="32" t="s">
        <v>605</v>
      </c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42.0" customHeight="1">
      <c r="A8" s="31"/>
      <c r="B8" s="32" t="s">
        <v>608</v>
      </c>
      <c r="C8" s="32">
        <v>3.0</v>
      </c>
      <c r="D8" s="32" t="s">
        <v>609</v>
      </c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42.0" customHeight="1">
      <c r="A9" s="32" t="s">
        <v>611</v>
      </c>
      <c r="B9" s="32" t="s">
        <v>612</v>
      </c>
      <c r="C9" s="32">
        <v>0.0</v>
      </c>
      <c r="D9" s="32" t="s">
        <v>590</v>
      </c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42.0" customHeight="1">
      <c r="A10" s="31"/>
      <c r="B10" s="32" t="s">
        <v>615</v>
      </c>
      <c r="C10" s="32">
        <v>8.0</v>
      </c>
      <c r="D10" s="32" t="s">
        <v>616</v>
      </c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42.0" customHeight="1">
      <c r="A11" s="31"/>
      <c r="B11" s="32" t="s">
        <v>619</v>
      </c>
      <c r="C11" s="32">
        <v>0.0</v>
      </c>
      <c r="D11" s="32" t="s">
        <v>590</v>
      </c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42.0" customHeight="1">
      <c r="A12" s="32" t="s">
        <v>621</v>
      </c>
      <c r="B12" s="32" t="s">
        <v>622</v>
      </c>
      <c r="C12" s="32">
        <v>19.0</v>
      </c>
      <c r="D12" s="32" t="s">
        <v>624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42.0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42.0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42.0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42.0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42.0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42.0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42.0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42.0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42.0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42.0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42.0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42.0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42.0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42.0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42.0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42.0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42.0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42.0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42.0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42.0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42.0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42.0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42.0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42.0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42.0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42.0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42.0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42.0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42.0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42.0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42.0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42.0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42.0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42.0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42.0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42.0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42.0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42.0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42.0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42.0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42.0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42.0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42.0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42.0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42.0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42.0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42.0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42.0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42.0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42.0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42.0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42.0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42.0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42.0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42.0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42.0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42.0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42.0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42.0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42.0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42.0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42.0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42.0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42.0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42.0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42.0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42.0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42.0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42.0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42.0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42.0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42.0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42.0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42.0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42.0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42.0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42.0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42.0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42.0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42.0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42.0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42.0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42.0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42.0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42.0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42.0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42.0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42.0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42.0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42.0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42.0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42.0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42.0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42.0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42.0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42.0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42.0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42.0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42.0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42.0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42.0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42.0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42.0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42.0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42.0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42.0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42.0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42.0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42.0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42.0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42.0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42.0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42.0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42.0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42.0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42.0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42.0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42.0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42.0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42.0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42.0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42.0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42.0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42.0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42.0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42.0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42.0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42.0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42.0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42.0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42.0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42.0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42.0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42.0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42.0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42.0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42.0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42.0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42.0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42.0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42.0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42.0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42.0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42.0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42.0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42.0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42.0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42.0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42.0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42.0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42.0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42.0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42.0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42.0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42.0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42.0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42.0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42.0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42.0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42.0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42.0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42.0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42.0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42.0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42.0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42.0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42.0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42.0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42.0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42.0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42.0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42.0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42.0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42.0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42.0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42.0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42.0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42.0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42.0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42.0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42.0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42.0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42.0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42.0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42.0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42.0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42.0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42.0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42.0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42.0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42.0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42.0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42.0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42.0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42.0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42.0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42.0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42.0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42.0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42.0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42.0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42.0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42.0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42.0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42.0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42.0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42.0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42.0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42.0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42.0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42.0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42.0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42.0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42.0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42.0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42.0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42.0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42.0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42.0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42.0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42.0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42.0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42.0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42.0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42.0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42.0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42.0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42.0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42.0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42.0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42.0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42.0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42.0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42.0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42.0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42.0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42.0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42.0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42.0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42.0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42.0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42.0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42.0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42.0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42.0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42.0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42.0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42.0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42.0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42.0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42.0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42.0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42.0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42.0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42.0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42.0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42.0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42.0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42.0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42.0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42.0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42.0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42.0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42.0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42.0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42.0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42.0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42.0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42.0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42.0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42.0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42.0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42.0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42.0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42.0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42.0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42.0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42.0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42.0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42.0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42.0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42.0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42.0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42.0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42.0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42.0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42.0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42.0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42.0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42.0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42.0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42.0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42.0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42.0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42.0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42.0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42.0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42.0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42.0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42.0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42.0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42.0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42.0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42.0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42.0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42.0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42.0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42.0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42.0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42.0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42.0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42.0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42.0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42.0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42.0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42.0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42.0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42.0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42.0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42.0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42.0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42.0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42.0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42.0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42.0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42.0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42.0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42.0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42.0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42.0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42.0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42.0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42.0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42.0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42.0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42.0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42.0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42.0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42.0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42.0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42.0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42.0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42.0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42.0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42.0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42.0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42.0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42.0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42.0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42.0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42.0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42.0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42.0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42.0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42.0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42.0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42.0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42.0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42.0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42.0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42.0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42.0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42.0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42.0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42.0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42.0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42.0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42.0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42.0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42.0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42.0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42.0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42.0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42.0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42.0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42.0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42.0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42.0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42.0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42.0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42.0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42.0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42.0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42.0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42.0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42.0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42.0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42.0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42.0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42.0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42.0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42.0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42.0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42.0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42.0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42.0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42.0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42.0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42.0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42.0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42.0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42.0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42.0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42.0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42.0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42.0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42.0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42.0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42.0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42.0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42.0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42.0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42.0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42.0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42.0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42.0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42.0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42.0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42.0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42.0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42.0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42.0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42.0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42.0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42.0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42.0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42.0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42.0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42.0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42.0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42.0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42.0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42.0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42.0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42.0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42.0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42.0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42.0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42.0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42.0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42.0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42.0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42.0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42.0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42.0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42.0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42.0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42.0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42.0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42.0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42.0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42.0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42.0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42.0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42.0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42.0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42.0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42.0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42.0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42.0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42.0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42.0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42.0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42.0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42.0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42.0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42.0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42.0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42.0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42.0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42.0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42.0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42.0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42.0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42.0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42.0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42.0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42.0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42.0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42.0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42.0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42.0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42.0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42.0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42.0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42.0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42.0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42.0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42.0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42.0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42.0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42.0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42.0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42.0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42.0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42.0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42.0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42.0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42.0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42.0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42.0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42.0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42.0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42.0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42.0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42.0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42.0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42.0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42.0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42.0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42.0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42.0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42.0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42.0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42.0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42.0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42.0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42.0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42.0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42.0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42.0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42.0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42.0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42.0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42.0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42.0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42.0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42.0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42.0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42.0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42.0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42.0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42.0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42.0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42.0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42.0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42.0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42.0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42.0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42.0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42.0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42.0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42.0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42.0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42.0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42.0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42.0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42.0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42.0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42.0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42.0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42.0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42.0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42.0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42.0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42.0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42.0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42.0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42.0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42.0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42.0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42.0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42.0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42.0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42.0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42.0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42.0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42.0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42.0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42.0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42.0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42.0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42.0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42.0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42.0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42.0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42.0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42.0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42.0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42.0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42.0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42.0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42.0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42.0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42.0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42.0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42.0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42.0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42.0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42.0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42.0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42.0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42.0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42.0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42.0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42.0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42.0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42.0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42.0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42.0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42.0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42.0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42.0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42.0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42.0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42.0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42.0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42.0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42.0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42.0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42.0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42.0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42.0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42.0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42.0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42.0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42.0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42.0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42.0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42.0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42.0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42.0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42.0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42.0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42.0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42.0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42.0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42.0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42.0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42.0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42.0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42.0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42.0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42.0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42.0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42.0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42.0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42.0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42.0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42.0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42.0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42.0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42.0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42.0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42.0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42.0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42.0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42.0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42.0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42.0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42.0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42.0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42.0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42.0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42.0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42.0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42.0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42.0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42.0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42.0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42.0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42.0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42.0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42.0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42.0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42.0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42.0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42.0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42.0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42.0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42.0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42.0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42.0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42.0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42.0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42.0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42.0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42.0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42.0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42.0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42.0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42.0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42.0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42.0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42.0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42.0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42.0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42.0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42.0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42.0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42.0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42.0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42.0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42.0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42.0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42.0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42.0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42.0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42.0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42.0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42.0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42.0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42.0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42.0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42.0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42.0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42.0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42.0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42.0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42.0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42.0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42.0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42.0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42.0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42.0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42.0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42.0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42.0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42.0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42.0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42.0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42.0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42.0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42.0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42.0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42.0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42.0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42.0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42.0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42.0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42.0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42.0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42.0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42.0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42.0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42.0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42.0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42.0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42.0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42.0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42.0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42.0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42.0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42.0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42.0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42.0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42.0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42.0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42.0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42.0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42.0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42.0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42.0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42.0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42.0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42.0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42.0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42.0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42.0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42.0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42.0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42.0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42.0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42.0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42.0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42.0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42.0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42.0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42.0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42.0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42.0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42.0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42.0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42.0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42.0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42.0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42.0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42.0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42.0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42.0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42.0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42.0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42.0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42.0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42.0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42.0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42.0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42.0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42.0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42.0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42.0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42.0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42.0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42.0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42.0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42.0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42.0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42.0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42.0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42.0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42.0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42.0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42.0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42.0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42.0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42.0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42.0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42.0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42.0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42.0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42.0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42.0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42.0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42.0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42.0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42.0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42.0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42.0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42.0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42.0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42.0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42.0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42.0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42.0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42.0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42.0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42.0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42.0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42.0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42.0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42.0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42.0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42.0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42.0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42.0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42.0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42.0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42.0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42.0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42.0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42.0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42.0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42.0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42.0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42.0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42.0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42.0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42.0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42.0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42.0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42.0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42.0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42.0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42.0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42.0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42.0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42.0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42.0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42.0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42.0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42.0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42.0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42.0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42.0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42.0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42.0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42.0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42.0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42.0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42.0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42.0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42.0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42.0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42.0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42.0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42.0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42.0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42.0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42.0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42.0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42.0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42.0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42.0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42.0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42.0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42.0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42.0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42.0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42.0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42.0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42.0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42.0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42.0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42.0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42.0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42.0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42.0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42.0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42.0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42.0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42.0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42.0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42.0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42.0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42.0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42.0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42.0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42.0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42.0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42.0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42.0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42.0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42.0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42.0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42.0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42.0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42.0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42.0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42.0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42.0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42.0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42.0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42.0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42.0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42.0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42.0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42.0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42.0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42.0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42.0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42.0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42.0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42.0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42.0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42.0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42.0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42.0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42.0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42.0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42.0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42.0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42.0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42.0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42.0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42.0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42.0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42.0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42.0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42.0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42.0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42.0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42.0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42.0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42.0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42.0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42.0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42.0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42.0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42.0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42.0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42.0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42.0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42.0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42.0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42.0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42.0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42.0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42.0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42.0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42.0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42.0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42.0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42.0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42.0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42.0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42.0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42.0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42.0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42.0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42.0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42.0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42.0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42.0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42.0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42.0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42.0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42.0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42.0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9.86"/>
    <col customWidth="1" min="3" max="3" width="34.29"/>
    <col customWidth="1" min="4" max="4" width="84.29"/>
    <col customWidth="1" min="5" max="5" width="51.14"/>
    <col customWidth="1" min="6" max="6" width="14.43"/>
  </cols>
  <sheetData>
    <row r="1">
      <c r="A1" s="36"/>
      <c r="B1" s="3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37" t="s">
        <v>567</v>
      </c>
      <c r="B2" s="38" t="s">
        <v>570</v>
      </c>
      <c r="C2" s="38" t="s">
        <v>663</v>
      </c>
      <c r="D2" s="39" t="s">
        <v>664</v>
      </c>
      <c r="E2" s="38" t="s">
        <v>665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0" t="s">
        <v>666</v>
      </c>
      <c r="B3" s="41" t="s">
        <v>667</v>
      </c>
      <c r="C3" s="42" t="s">
        <v>668</v>
      </c>
      <c r="D3" s="41" t="s">
        <v>669</v>
      </c>
      <c r="E3" s="41" t="s">
        <v>670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3"/>
      <c r="B4" s="41" t="s">
        <v>667</v>
      </c>
      <c r="C4" s="42" t="s">
        <v>668</v>
      </c>
      <c r="D4" s="44" t="s">
        <v>671</v>
      </c>
      <c r="E4" s="41" t="s">
        <v>672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3"/>
      <c r="B5" s="41" t="s">
        <v>667</v>
      </c>
      <c r="C5" s="42" t="s">
        <v>668</v>
      </c>
      <c r="D5" s="41" t="s">
        <v>673</v>
      </c>
      <c r="E5" s="41" t="s">
        <v>674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5"/>
      <c r="B6" s="46" t="s">
        <v>667</v>
      </c>
      <c r="C6" s="47" t="s">
        <v>668</v>
      </c>
      <c r="D6" s="46" t="s">
        <v>675</v>
      </c>
      <c r="E6" s="46" t="s">
        <v>676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8" t="s">
        <v>677</v>
      </c>
      <c r="B7" s="49" t="s">
        <v>678</v>
      </c>
      <c r="C7" s="50" t="s">
        <v>668</v>
      </c>
      <c r="D7" s="49" t="s">
        <v>445</v>
      </c>
      <c r="E7" s="49" t="s">
        <v>679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3"/>
      <c r="B8" s="41" t="s">
        <v>678</v>
      </c>
      <c r="C8" s="42" t="s">
        <v>668</v>
      </c>
      <c r="D8" s="41" t="s">
        <v>432</v>
      </c>
      <c r="E8" s="41" t="s">
        <v>680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3"/>
      <c r="B9" s="41" t="s">
        <v>678</v>
      </c>
      <c r="C9" s="42" t="s">
        <v>668</v>
      </c>
      <c r="D9" s="41" t="s">
        <v>681</v>
      </c>
      <c r="E9" s="41" t="s">
        <v>682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3"/>
      <c r="B10" s="51" t="s">
        <v>678</v>
      </c>
      <c r="C10" s="42" t="s">
        <v>668</v>
      </c>
      <c r="D10" s="41" t="s">
        <v>683</v>
      </c>
      <c r="E10" s="41" t="s">
        <v>684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8" t="s">
        <v>677</v>
      </c>
      <c r="B11" s="49" t="s">
        <v>685</v>
      </c>
      <c r="C11" s="52" t="s">
        <v>686</v>
      </c>
      <c r="D11" s="41" t="s">
        <v>687</v>
      </c>
      <c r="E11" s="41" t="s">
        <v>688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3"/>
      <c r="B12" s="41" t="s">
        <v>685</v>
      </c>
      <c r="C12" s="53" t="s">
        <v>689</v>
      </c>
      <c r="D12" s="41" t="s">
        <v>425</v>
      </c>
      <c r="E12" s="41" t="s">
        <v>690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3"/>
      <c r="B13" s="41" t="s">
        <v>685</v>
      </c>
      <c r="C13" s="53" t="s">
        <v>691</v>
      </c>
      <c r="D13" s="41" t="s">
        <v>692</v>
      </c>
      <c r="E13" s="41" t="s">
        <v>693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3"/>
      <c r="B14" s="46" t="s">
        <v>685</v>
      </c>
      <c r="C14" s="47" t="s">
        <v>668</v>
      </c>
      <c r="D14" s="46" t="s">
        <v>422</v>
      </c>
      <c r="E14" s="46" t="s">
        <v>694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54" t="s">
        <v>695</v>
      </c>
      <c r="B15" s="49" t="s">
        <v>696</v>
      </c>
      <c r="C15" s="55" t="s">
        <v>686</v>
      </c>
      <c r="D15" s="49" t="s">
        <v>697</v>
      </c>
      <c r="E15" s="49" t="s">
        <v>698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3"/>
      <c r="B16" s="41" t="s">
        <v>696</v>
      </c>
      <c r="C16" s="42" t="s">
        <v>668</v>
      </c>
      <c r="D16" s="41" t="s">
        <v>699</v>
      </c>
      <c r="E16" s="41" t="s">
        <v>700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3"/>
      <c r="B17" s="41" t="s">
        <v>696</v>
      </c>
      <c r="C17" s="42" t="s">
        <v>668</v>
      </c>
      <c r="D17" s="41" t="s">
        <v>701</v>
      </c>
      <c r="E17" s="41" t="s">
        <v>679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3"/>
      <c r="B18" s="51" t="s">
        <v>696</v>
      </c>
      <c r="C18" s="53" t="s">
        <v>702</v>
      </c>
      <c r="D18" s="41" t="s">
        <v>703</v>
      </c>
      <c r="E18" s="41" t="s">
        <v>704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54" t="s">
        <v>695</v>
      </c>
      <c r="B19" s="49" t="s">
        <v>179</v>
      </c>
      <c r="C19" s="42" t="s">
        <v>668</v>
      </c>
      <c r="D19" s="41" t="s">
        <v>705</v>
      </c>
      <c r="E19" s="41" t="s">
        <v>706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3"/>
      <c r="B20" s="41" t="s">
        <v>179</v>
      </c>
      <c r="C20" s="42" t="s">
        <v>668</v>
      </c>
      <c r="D20" s="41" t="s">
        <v>707</v>
      </c>
      <c r="E20" s="41" t="s">
        <v>679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3"/>
      <c r="B21" s="41" t="s">
        <v>179</v>
      </c>
      <c r="C21" s="42" t="s">
        <v>668</v>
      </c>
      <c r="D21" s="41" t="s">
        <v>708</v>
      </c>
      <c r="E21" s="41" t="s">
        <v>709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3"/>
      <c r="B22" s="51" t="s">
        <v>179</v>
      </c>
      <c r="C22" s="42" t="s">
        <v>668</v>
      </c>
      <c r="D22" s="41" t="s">
        <v>435</v>
      </c>
      <c r="E22" s="41" t="s">
        <v>710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54" t="s">
        <v>695</v>
      </c>
      <c r="B23" s="49" t="s">
        <v>711</v>
      </c>
      <c r="C23" s="42" t="s">
        <v>668</v>
      </c>
      <c r="D23" s="41" t="s">
        <v>441</v>
      </c>
      <c r="E23" s="41" t="s">
        <v>712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3"/>
      <c r="B24" s="41" t="s">
        <v>711</v>
      </c>
      <c r="C24" s="53" t="s">
        <v>713</v>
      </c>
      <c r="D24" s="41" t="s">
        <v>714</v>
      </c>
      <c r="E24" s="41" t="s">
        <v>715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3"/>
      <c r="B25" s="41" t="s">
        <v>711</v>
      </c>
      <c r="C25" s="42" t="s">
        <v>668</v>
      </c>
      <c r="D25" s="41" t="s">
        <v>716</v>
      </c>
      <c r="E25" s="41" t="s">
        <v>717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3"/>
      <c r="B26" s="51" t="s">
        <v>711</v>
      </c>
      <c r="C26" s="53" t="s">
        <v>718</v>
      </c>
      <c r="D26" s="41" t="s">
        <v>719</v>
      </c>
      <c r="E26" s="41" t="s">
        <v>720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56" t="s">
        <v>721</v>
      </c>
      <c r="B27" s="49" t="s">
        <v>722</v>
      </c>
      <c r="C27" s="53" t="s">
        <v>723</v>
      </c>
      <c r="D27" s="41" t="s">
        <v>724</v>
      </c>
      <c r="E27" s="41" t="s">
        <v>725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3"/>
      <c r="B28" s="51" t="s">
        <v>722</v>
      </c>
      <c r="C28" s="53" t="s">
        <v>726</v>
      </c>
      <c r="D28" s="41" t="s">
        <v>296</v>
      </c>
      <c r="E28" s="41" t="s">
        <v>727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56" t="s">
        <v>721</v>
      </c>
      <c r="B29" s="49" t="s">
        <v>728</v>
      </c>
      <c r="C29" s="42" t="s">
        <v>668</v>
      </c>
      <c r="D29" s="41" t="s">
        <v>729</v>
      </c>
      <c r="E29" s="41" t="s">
        <v>730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3"/>
      <c r="B30" s="41" t="s">
        <v>728</v>
      </c>
      <c r="C30" s="42" t="s">
        <v>668</v>
      </c>
      <c r="D30" s="41" t="s">
        <v>731</v>
      </c>
      <c r="E30" s="41" t="s">
        <v>732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3"/>
      <c r="B31" s="51" t="s">
        <v>728</v>
      </c>
      <c r="C31" s="42" t="s">
        <v>668</v>
      </c>
      <c r="D31" s="41" t="s">
        <v>733</v>
      </c>
      <c r="E31" s="41" t="s">
        <v>734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56" t="s">
        <v>721</v>
      </c>
      <c r="B32" s="49" t="s">
        <v>183</v>
      </c>
      <c r="C32" s="42" t="s">
        <v>668</v>
      </c>
      <c r="D32" s="41" t="s">
        <v>735</v>
      </c>
      <c r="E32" s="41" t="s">
        <v>736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3"/>
      <c r="B33" s="51" t="s">
        <v>183</v>
      </c>
      <c r="C33" s="42" t="s">
        <v>668</v>
      </c>
      <c r="D33" s="41" t="s">
        <v>737</v>
      </c>
      <c r="E33" s="41" t="s">
        <v>738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57" t="s">
        <v>739</v>
      </c>
      <c r="B34" s="49" t="s">
        <v>153</v>
      </c>
      <c r="C34" s="42" t="s">
        <v>668</v>
      </c>
      <c r="D34" s="41" t="s">
        <v>740</v>
      </c>
      <c r="E34" s="41" t="s">
        <v>741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58"/>
      <c r="B35" s="41" t="s">
        <v>153</v>
      </c>
      <c r="C35" s="53" t="s">
        <v>742</v>
      </c>
      <c r="D35" s="41" t="s">
        <v>743</v>
      </c>
      <c r="E35" s="41" t="s">
        <v>744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59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59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59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59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59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59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59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59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59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59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59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59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59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59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59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59"/>
      <c r="B51" s="4"/>
      <c r="C51" s="60"/>
      <c r="D51" s="60" t="s">
        <v>745</v>
      </c>
      <c r="E51" s="60"/>
      <c r="F51" s="60"/>
      <c r="G51" s="6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59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59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59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59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59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59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59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5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59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59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59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59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59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59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59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59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59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59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59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59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59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59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59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59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59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59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59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59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59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59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59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59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59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59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59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59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59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59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59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59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59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59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59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59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59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59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59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59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59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59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59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59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59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59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59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59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59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59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59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59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59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59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59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59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59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59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59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59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59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59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59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59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59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59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59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59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59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59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59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59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59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59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59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59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59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59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59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59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59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59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59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59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59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59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59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59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59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59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59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59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59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59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59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59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59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59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59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59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59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59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59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59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59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59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59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59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59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59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59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59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59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59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59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59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59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59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59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59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59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59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59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59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59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59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59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59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59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59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59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59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59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59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59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59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59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59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59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59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59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59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59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59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59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59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59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59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59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59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59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59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59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59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59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59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59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59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59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59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59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59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59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59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59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59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59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59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59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59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59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59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59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59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59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59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59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59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59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59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59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59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59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59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59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59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59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59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59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59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59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59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B252" s="3"/>
      <c r="C252" s="3"/>
      <c r="D252" s="3"/>
      <c r="E252" s="3"/>
    </row>
    <row r="253" ht="15.75" customHeight="1">
      <c r="B253" s="3"/>
      <c r="C253" s="3"/>
      <c r="D253" s="3"/>
      <c r="E253" s="3"/>
    </row>
    <row r="254" ht="15.75" customHeight="1">
      <c r="B254" s="3"/>
      <c r="C254" s="3"/>
      <c r="D254" s="3"/>
      <c r="E254" s="3"/>
    </row>
    <row r="255" ht="15.75" customHeight="1">
      <c r="B255" s="3"/>
      <c r="C255" s="3"/>
      <c r="D255" s="3"/>
      <c r="E255" s="3"/>
    </row>
    <row r="256" ht="15.75" customHeight="1">
      <c r="B256" s="3"/>
      <c r="C256" s="3"/>
      <c r="D256" s="3"/>
      <c r="E256" s="3"/>
    </row>
    <row r="257" ht="15.75" customHeight="1">
      <c r="B257" s="3"/>
      <c r="C257" s="3"/>
      <c r="D257" s="3"/>
      <c r="E257" s="3"/>
    </row>
    <row r="258" ht="15.75" customHeight="1">
      <c r="B258" s="3"/>
      <c r="C258" s="3"/>
      <c r="D258" s="3"/>
      <c r="E258" s="3"/>
    </row>
    <row r="259" ht="15.75" customHeight="1">
      <c r="B259" s="3"/>
      <c r="C259" s="3"/>
      <c r="D259" s="3"/>
      <c r="E259" s="3"/>
    </row>
    <row r="260" ht="15.75" customHeight="1">
      <c r="B260" s="3"/>
      <c r="C260" s="3"/>
      <c r="D260" s="3"/>
      <c r="E260" s="3"/>
    </row>
    <row r="261" ht="15.75" customHeight="1">
      <c r="B261" s="3"/>
      <c r="C261" s="3"/>
      <c r="D261" s="3"/>
      <c r="E261" s="3"/>
    </row>
    <row r="262" ht="15.75" customHeight="1">
      <c r="B262" s="3"/>
      <c r="C262" s="3"/>
      <c r="D262" s="3"/>
      <c r="E262" s="3"/>
    </row>
    <row r="263" ht="15.75" customHeight="1">
      <c r="B263" s="3"/>
      <c r="C263" s="3"/>
      <c r="D263" s="3"/>
      <c r="E263" s="3"/>
    </row>
    <row r="264" ht="15.75" customHeight="1">
      <c r="B264" s="3"/>
      <c r="C264" s="3"/>
      <c r="D264" s="3"/>
      <c r="E264" s="3"/>
    </row>
    <row r="265" ht="15.75" customHeight="1">
      <c r="B265" s="3"/>
      <c r="C265" s="3"/>
      <c r="D265" s="3"/>
      <c r="E265" s="3"/>
    </row>
    <row r="266" ht="15.75" customHeight="1">
      <c r="B266" s="3"/>
      <c r="C266" s="3"/>
      <c r="D266" s="3"/>
      <c r="E266" s="3"/>
    </row>
    <row r="267" ht="15.75" customHeight="1">
      <c r="B267" s="3"/>
      <c r="C267" s="3"/>
      <c r="D267" s="3"/>
      <c r="E267" s="3"/>
    </row>
    <row r="268" ht="15.75" customHeight="1">
      <c r="B268" s="3"/>
      <c r="C268" s="3"/>
      <c r="D268" s="3"/>
      <c r="E268" s="3"/>
    </row>
    <row r="269" ht="15.75" customHeight="1">
      <c r="B269" s="3"/>
      <c r="C269" s="3"/>
      <c r="D269" s="3"/>
      <c r="E269" s="3"/>
    </row>
    <row r="270" ht="15.75" customHeight="1">
      <c r="B270" s="3"/>
      <c r="C270" s="3"/>
      <c r="D270" s="3"/>
      <c r="E270" s="3"/>
    </row>
    <row r="271" ht="15.75" customHeight="1">
      <c r="B271" s="3"/>
      <c r="C271" s="3"/>
      <c r="D271" s="3"/>
      <c r="E271" s="3"/>
    </row>
    <row r="272" ht="15.75" customHeight="1">
      <c r="B272" s="3"/>
      <c r="C272" s="3"/>
      <c r="D272" s="3"/>
      <c r="E272" s="3"/>
    </row>
    <row r="273" ht="15.75" customHeight="1">
      <c r="B273" s="3"/>
      <c r="C273" s="3"/>
      <c r="D273" s="3"/>
      <c r="E273" s="3"/>
    </row>
    <row r="274" ht="15.75" customHeight="1">
      <c r="B274" s="3"/>
      <c r="C274" s="3"/>
      <c r="D274" s="3"/>
      <c r="E274" s="3"/>
    </row>
    <row r="275" ht="15.75" customHeight="1">
      <c r="B275" s="3"/>
      <c r="C275" s="3"/>
      <c r="D275" s="3"/>
      <c r="E275" s="3"/>
    </row>
    <row r="276" ht="15.75" customHeight="1">
      <c r="B276" s="3"/>
      <c r="C276" s="3"/>
      <c r="D276" s="3"/>
      <c r="E276" s="3"/>
    </row>
    <row r="277" ht="15.75" customHeight="1">
      <c r="B277" s="3"/>
      <c r="C277" s="3"/>
      <c r="D277" s="3"/>
      <c r="E277" s="3"/>
    </row>
    <row r="278" ht="15.75" customHeight="1">
      <c r="B278" s="3"/>
      <c r="C278" s="3"/>
      <c r="D278" s="3"/>
      <c r="E278" s="3"/>
    </row>
    <row r="279" ht="15.75" customHeight="1">
      <c r="B279" s="3"/>
      <c r="C279" s="3"/>
      <c r="D279" s="3"/>
      <c r="E279" s="3"/>
    </row>
    <row r="280" ht="15.75" customHeight="1">
      <c r="B280" s="3"/>
      <c r="C280" s="3"/>
      <c r="D280" s="3"/>
      <c r="E280" s="3"/>
    </row>
    <row r="281" ht="15.75" customHeight="1">
      <c r="B281" s="3"/>
      <c r="C281" s="3"/>
      <c r="D281" s="3"/>
      <c r="E281" s="3"/>
    </row>
    <row r="282" ht="15.75" customHeight="1">
      <c r="B282" s="3"/>
      <c r="C282" s="3"/>
      <c r="D282" s="3"/>
      <c r="E282" s="3"/>
    </row>
    <row r="283" ht="15.75" customHeight="1">
      <c r="B283" s="3"/>
      <c r="C283" s="3"/>
      <c r="D283" s="3"/>
      <c r="E283" s="3"/>
    </row>
    <row r="284" ht="15.75" customHeight="1">
      <c r="B284" s="3"/>
      <c r="C284" s="3"/>
      <c r="D284" s="3"/>
      <c r="E284" s="3"/>
    </row>
    <row r="285" ht="15.75" customHeight="1">
      <c r="B285" s="3"/>
      <c r="C285" s="3"/>
      <c r="D285" s="3"/>
      <c r="E285" s="3"/>
    </row>
    <row r="286" ht="15.75" customHeight="1">
      <c r="B286" s="3"/>
      <c r="C286" s="3"/>
      <c r="D286" s="3"/>
      <c r="E286" s="3"/>
    </row>
    <row r="287" ht="15.75" customHeight="1">
      <c r="B287" s="3"/>
      <c r="C287" s="3"/>
      <c r="D287" s="3"/>
      <c r="E287" s="3"/>
    </row>
    <row r="288" ht="15.75" customHeight="1">
      <c r="B288" s="3"/>
      <c r="C288" s="3"/>
      <c r="D288" s="3"/>
      <c r="E288" s="3"/>
    </row>
    <row r="289" ht="15.75" customHeight="1">
      <c r="B289" s="3"/>
      <c r="C289" s="3"/>
      <c r="D289" s="3"/>
      <c r="E289" s="3"/>
    </row>
    <row r="290" ht="15.75" customHeight="1">
      <c r="B290" s="3"/>
      <c r="C290" s="3"/>
      <c r="D290" s="3"/>
      <c r="E290" s="3"/>
    </row>
    <row r="291" ht="15.75" customHeight="1">
      <c r="B291" s="3"/>
      <c r="C291" s="3"/>
      <c r="D291" s="3"/>
      <c r="E291" s="3"/>
    </row>
    <row r="292" ht="15.75" customHeight="1">
      <c r="B292" s="3"/>
      <c r="C292" s="3"/>
      <c r="D292" s="3"/>
      <c r="E292" s="3"/>
    </row>
    <row r="293" ht="15.75" customHeight="1">
      <c r="B293" s="3"/>
      <c r="C293" s="3"/>
      <c r="D293" s="3"/>
      <c r="E293" s="3"/>
    </row>
    <row r="294" ht="15.75" customHeight="1">
      <c r="B294" s="3"/>
      <c r="C294" s="3"/>
      <c r="D294" s="3"/>
      <c r="E294" s="3"/>
    </row>
    <row r="295" ht="15.75" customHeight="1">
      <c r="B295" s="3"/>
      <c r="C295" s="3"/>
      <c r="D295" s="3"/>
      <c r="E295" s="3"/>
    </row>
    <row r="296" ht="15.75" customHeight="1">
      <c r="B296" s="3"/>
      <c r="C296" s="3"/>
      <c r="D296" s="3"/>
      <c r="E296" s="3"/>
    </row>
    <row r="297" ht="15.75" customHeight="1">
      <c r="B297" s="3"/>
      <c r="C297" s="3"/>
      <c r="D297" s="3"/>
      <c r="E297" s="3"/>
    </row>
    <row r="298" ht="15.75" customHeight="1">
      <c r="B298" s="3"/>
      <c r="C298" s="3"/>
      <c r="D298" s="3"/>
      <c r="E298" s="3"/>
    </row>
    <row r="299" ht="15.75" customHeight="1">
      <c r="B299" s="3"/>
      <c r="C299" s="3"/>
      <c r="D299" s="3"/>
      <c r="E299" s="3"/>
    </row>
    <row r="300" ht="15.75" customHeight="1">
      <c r="B300" s="3"/>
      <c r="C300" s="3"/>
      <c r="D300" s="3"/>
      <c r="E300" s="3"/>
    </row>
    <row r="301" ht="15.75" customHeight="1">
      <c r="B301" s="3"/>
      <c r="C301" s="3"/>
      <c r="D301" s="3"/>
      <c r="E301" s="3"/>
    </row>
    <row r="302" ht="15.75" customHeight="1">
      <c r="B302" s="3"/>
      <c r="C302" s="3"/>
      <c r="D302" s="3"/>
      <c r="E302" s="3"/>
    </row>
    <row r="303" ht="15.75" customHeight="1">
      <c r="B303" s="3"/>
      <c r="C303" s="3"/>
      <c r="D303" s="3"/>
      <c r="E303" s="3"/>
    </row>
    <row r="304" ht="15.75" customHeight="1">
      <c r="B304" s="3"/>
      <c r="C304" s="3"/>
      <c r="D304" s="3"/>
      <c r="E304" s="3"/>
    </row>
    <row r="305" ht="15.75" customHeight="1">
      <c r="B305" s="3"/>
      <c r="C305" s="3"/>
      <c r="D305" s="3"/>
      <c r="E305" s="3"/>
    </row>
    <row r="306" ht="15.75" customHeight="1">
      <c r="B306" s="3"/>
      <c r="C306" s="3"/>
      <c r="D306" s="3"/>
      <c r="E306" s="3"/>
    </row>
    <row r="307" ht="15.75" customHeight="1">
      <c r="B307" s="3"/>
      <c r="C307" s="3"/>
      <c r="D307" s="3"/>
      <c r="E307" s="3"/>
    </row>
    <row r="308" ht="15.75" customHeight="1">
      <c r="B308" s="3"/>
      <c r="C308" s="3"/>
      <c r="D308" s="3"/>
      <c r="E308" s="3"/>
    </row>
    <row r="309" ht="15.75" customHeight="1">
      <c r="B309" s="3"/>
      <c r="C309" s="3"/>
      <c r="D309" s="3"/>
      <c r="E309" s="3"/>
    </row>
    <row r="310" ht="15.75" customHeight="1">
      <c r="B310" s="3"/>
      <c r="C310" s="3"/>
      <c r="D310" s="3"/>
      <c r="E310" s="3"/>
    </row>
    <row r="311" ht="15.75" customHeight="1">
      <c r="B311" s="3"/>
      <c r="C311" s="3"/>
      <c r="D311" s="3"/>
      <c r="E311" s="3"/>
    </row>
    <row r="312" ht="15.75" customHeight="1">
      <c r="B312" s="3"/>
      <c r="C312" s="3"/>
      <c r="D312" s="3"/>
      <c r="E312" s="3"/>
    </row>
    <row r="313" ht="15.75" customHeight="1">
      <c r="B313" s="3"/>
      <c r="C313" s="3"/>
      <c r="D313" s="3"/>
      <c r="E313" s="3"/>
    </row>
    <row r="314" ht="15.75" customHeight="1">
      <c r="B314" s="3"/>
      <c r="C314" s="3"/>
      <c r="D314" s="3"/>
      <c r="E314" s="3"/>
    </row>
    <row r="315" ht="15.75" customHeight="1">
      <c r="B315" s="3"/>
      <c r="C315" s="3"/>
      <c r="D315" s="3"/>
      <c r="E315" s="3"/>
    </row>
    <row r="316" ht="15.75" customHeight="1">
      <c r="B316" s="3"/>
      <c r="C316" s="3"/>
      <c r="D316" s="3"/>
      <c r="E316" s="3"/>
    </row>
    <row r="317" ht="15.75" customHeight="1">
      <c r="B317" s="3"/>
      <c r="C317" s="3"/>
      <c r="D317" s="3"/>
      <c r="E317" s="3"/>
    </row>
    <row r="318" ht="15.75" customHeight="1">
      <c r="B318" s="3"/>
      <c r="C318" s="3"/>
      <c r="D318" s="3"/>
      <c r="E318" s="3"/>
    </row>
    <row r="319" ht="15.75" customHeight="1">
      <c r="B319" s="3"/>
      <c r="C319" s="3"/>
      <c r="D319" s="3"/>
      <c r="E319" s="3"/>
    </row>
    <row r="320" ht="15.75" customHeight="1">
      <c r="B320" s="3"/>
      <c r="C320" s="3"/>
      <c r="D320" s="3"/>
      <c r="E320" s="3"/>
    </row>
    <row r="321" ht="15.75" customHeight="1">
      <c r="B321" s="3"/>
      <c r="C321" s="3"/>
      <c r="D321" s="3"/>
      <c r="E321" s="3"/>
    </row>
    <row r="322" ht="15.75" customHeight="1">
      <c r="B322" s="3"/>
      <c r="C322" s="3"/>
      <c r="D322" s="3"/>
      <c r="E322" s="3"/>
    </row>
    <row r="323" ht="15.75" customHeight="1">
      <c r="B323" s="3"/>
      <c r="C323" s="3"/>
      <c r="D323" s="3"/>
      <c r="E323" s="3"/>
    </row>
    <row r="324" ht="15.75" customHeight="1">
      <c r="B324" s="3"/>
      <c r="C324" s="3"/>
      <c r="D324" s="3"/>
      <c r="E324" s="3"/>
    </row>
    <row r="325" ht="15.75" customHeight="1">
      <c r="B325" s="3"/>
      <c r="C325" s="3"/>
      <c r="D325" s="3"/>
      <c r="E325" s="3"/>
    </row>
    <row r="326" ht="15.75" customHeight="1">
      <c r="B326" s="3"/>
      <c r="C326" s="3"/>
      <c r="D326" s="3"/>
      <c r="E326" s="3"/>
    </row>
    <row r="327" ht="15.75" customHeight="1">
      <c r="B327" s="3"/>
      <c r="C327" s="3"/>
      <c r="D327" s="3"/>
      <c r="E327" s="3"/>
    </row>
    <row r="328" ht="15.75" customHeight="1">
      <c r="B328" s="3"/>
      <c r="C328" s="3"/>
      <c r="D328" s="3"/>
      <c r="E328" s="3"/>
    </row>
    <row r="329" ht="15.75" customHeight="1">
      <c r="B329" s="3"/>
      <c r="C329" s="3"/>
      <c r="D329" s="3"/>
      <c r="E329" s="3"/>
    </row>
    <row r="330" ht="15.75" customHeight="1">
      <c r="B330" s="3"/>
      <c r="C330" s="3"/>
      <c r="D330" s="3"/>
      <c r="E330" s="3"/>
    </row>
    <row r="331" ht="15.75" customHeight="1">
      <c r="B331" s="3"/>
      <c r="C331" s="3"/>
      <c r="D331" s="3"/>
      <c r="E331" s="3"/>
    </row>
    <row r="332" ht="15.75" customHeight="1">
      <c r="B332" s="3"/>
      <c r="C332" s="3"/>
      <c r="D332" s="3"/>
      <c r="E332" s="3"/>
    </row>
    <row r="333" ht="15.75" customHeight="1">
      <c r="B333" s="3"/>
      <c r="C333" s="3"/>
      <c r="D333" s="3"/>
      <c r="E333" s="3"/>
    </row>
    <row r="334" ht="15.75" customHeight="1">
      <c r="B334" s="3"/>
      <c r="C334" s="3"/>
      <c r="D334" s="3"/>
      <c r="E334" s="3"/>
    </row>
    <row r="335" ht="15.75" customHeight="1">
      <c r="B335" s="3"/>
      <c r="C335" s="3"/>
      <c r="D335" s="3"/>
      <c r="E335" s="3"/>
    </row>
    <row r="336" ht="15.75" customHeight="1">
      <c r="B336" s="3"/>
      <c r="C336" s="3"/>
      <c r="D336" s="3"/>
      <c r="E336" s="3"/>
    </row>
    <row r="337" ht="15.75" customHeight="1">
      <c r="B337" s="3"/>
      <c r="C337" s="3"/>
      <c r="D337" s="3"/>
      <c r="E337" s="3"/>
    </row>
    <row r="338" ht="15.75" customHeight="1">
      <c r="B338" s="3"/>
      <c r="C338" s="3"/>
      <c r="D338" s="3"/>
      <c r="E338" s="3"/>
    </row>
    <row r="339" ht="15.75" customHeight="1">
      <c r="B339" s="3"/>
      <c r="C339" s="3"/>
      <c r="D339" s="3"/>
      <c r="E339" s="3"/>
    </row>
    <row r="340" ht="15.75" customHeight="1">
      <c r="B340" s="3"/>
      <c r="C340" s="3"/>
      <c r="D340" s="3"/>
      <c r="E340" s="3"/>
    </row>
    <row r="341" ht="15.75" customHeight="1">
      <c r="B341" s="3"/>
      <c r="C341" s="3"/>
      <c r="D341" s="3"/>
      <c r="E341" s="3"/>
    </row>
    <row r="342" ht="15.75" customHeight="1">
      <c r="B342" s="3"/>
      <c r="C342" s="3"/>
      <c r="D342" s="3"/>
      <c r="E342" s="3"/>
    </row>
    <row r="343" ht="15.75" customHeight="1">
      <c r="B343" s="3"/>
      <c r="C343" s="3"/>
      <c r="D343" s="3"/>
      <c r="E343" s="3"/>
    </row>
    <row r="344" ht="15.75" customHeight="1">
      <c r="B344" s="3"/>
      <c r="C344" s="3"/>
      <c r="D344" s="3"/>
      <c r="E344" s="3"/>
    </row>
    <row r="345" ht="15.75" customHeight="1">
      <c r="B345" s="3"/>
      <c r="C345" s="3"/>
      <c r="D345" s="3"/>
      <c r="E345" s="3"/>
    </row>
    <row r="346" ht="15.75" customHeight="1">
      <c r="B346" s="3"/>
      <c r="C346" s="3"/>
      <c r="D346" s="3"/>
      <c r="E346" s="3"/>
    </row>
    <row r="347" ht="15.75" customHeight="1">
      <c r="B347" s="3"/>
      <c r="C347" s="3"/>
      <c r="D347" s="3"/>
      <c r="E347" s="3"/>
    </row>
    <row r="348" ht="15.75" customHeight="1">
      <c r="B348" s="3"/>
      <c r="C348" s="3"/>
      <c r="D348" s="3"/>
      <c r="E348" s="3"/>
    </row>
    <row r="349" ht="15.75" customHeight="1">
      <c r="B349" s="3"/>
      <c r="C349" s="3"/>
      <c r="D349" s="3"/>
      <c r="E349" s="3"/>
    </row>
    <row r="350" ht="15.75" customHeight="1">
      <c r="B350" s="3"/>
      <c r="C350" s="3"/>
      <c r="D350" s="3"/>
      <c r="E350" s="3"/>
    </row>
    <row r="351" ht="15.75" customHeight="1">
      <c r="B351" s="3"/>
      <c r="C351" s="3"/>
      <c r="D351" s="3"/>
      <c r="E351" s="3"/>
    </row>
    <row r="352" ht="15.75" customHeight="1">
      <c r="B352" s="3"/>
      <c r="C352" s="3"/>
      <c r="D352" s="3"/>
      <c r="E352" s="3"/>
    </row>
    <row r="353" ht="15.75" customHeight="1">
      <c r="B353" s="3"/>
      <c r="C353" s="3"/>
      <c r="D353" s="3"/>
      <c r="E353" s="3"/>
    </row>
    <row r="354" ht="15.75" customHeight="1">
      <c r="B354" s="3"/>
      <c r="C354" s="3"/>
      <c r="D354" s="3"/>
      <c r="E354" s="3"/>
    </row>
    <row r="355" ht="15.75" customHeight="1">
      <c r="B355" s="3"/>
      <c r="C355" s="3"/>
      <c r="D355" s="3"/>
      <c r="E355" s="3"/>
    </row>
    <row r="356" ht="15.75" customHeight="1">
      <c r="B356" s="3"/>
      <c r="C356" s="3"/>
      <c r="D356" s="3"/>
      <c r="E356" s="3"/>
    </row>
    <row r="357" ht="15.75" customHeight="1">
      <c r="B357" s="3"/>
      <c r="C357" s="3"/>
      <c r="D357" s="3"/>
      <c r="E357" s="3"/>
    </row>
    <row r="358" ht="15.75" customHeight="1">
      <c r="B358" s="3"/>
      <c r="C358" s="3"/>
      <c r="D358" s="3"/>
      <c r="E358" s="3"/>
    </row>
    <row r="359" ht="15.75" customHeight="1">
      <c r="B359" s="3"/>
      <c r="C359" s="3"/>
      <c r="D359" s="3"/>
      <c r="E359" s="3"/>
    </row>
    <row r="360" ht="15.75" customHeight="1">
      <c r="B360" s="3"/>
      <c r="C360" s="3"/>
      <c r="D360" s="3"/>
      <c r="E360" s="3"/>
    </row>
    <row r="361" ht="15.75" customHeight="1">
      <c r="B361" s="3"/>
      <c r="C361" s="3"/>
      <c r="D361" s="3"/>
      <c r="E361" s="3"/>
    </row>
    <row r="362" ht="15.75" customHeight="1">
      <c r="B362" s="3"/>
      <c r="C362" s="3"/>
      <c r="D362" s="3"/>
      <c r="E362" s="3"/>
    </row>
    <row r="363" ht="15.75" customHeight="1">
      <c r="B363" s="3"/>
      <c r="C363" s="3"/>
      <c r="D363" s="3"/>
      <c r="E363" s="3"/>
    </row>
    <row r="364" ht="15.75" customHeight="1">
      <c r="B364" s="3"/>
      <c r="C364" s="3"/>
      <c r="D364" s="3"/>
      <c r="E364" s="3"/>
    </row>
    <row r="365" ht="15.75" customHeight="1">
      <c r="B365" s="3"/>
      <c r="C365" s="3"/>
      <c r="D365" s="3"/>
      <c r="E365" s="3"/>
    </row>
    <row r="366" ht="15.75" customHeight="1">
      <c r="B366" s="3"/>
      <c r="C366" s="3"/>
      <c r="D366" s="3"/>
      <c r="E366" s="3"/>
    </row>
    <row r="367" ht="15.75" customHeight="1">
      <c r="B367" s="3"/>
      <c r="C367" s="3"/>
      <c r="D367" s="3"/>
      <c r="E367" s="3"/>
    </row>
    <row r="368" ht="15.75" customHeight="1">
      <c r="B368" s="3"/>
      <c r="C368" s="3"/>
      <c r="D368" s="3"/>
      <c r="E368" s="3"/>
    </row>
    <row r="369" ht="15.75" customHeight="1">
      <c r="B369" s="3"/>
      <c r="C369" s="3"/>
      <c r="D369" s="3"/>
      <c r="E369" s="3"/>
    </row>
    <row r="370" ht="15.75" customHeight="1">
      <c r="B370" s="3"/>
      <c r="C370" s="3"/>
      <c r="D370" s="3"/>
      <c r="E370" s="3"/>
    </row>
    <row r="371" ht="15.75" customHeight="1">
      <c r="B371" s="3"/>
      <c r="C371" s="3"/>
      <c r="D371" s="3"/>
      <c r="E371" s="3"/>
    </row>
    <row r="372" ht="15.75" customHeight="1">
      <c r="B372" s="3"/>
      <c r="C372" s="3"/>
      <c r="D372" s="3"/>
      <c r="E372" s="3"/>
    </row>
    <row r="373" ht="15.75" customHeight="1">
      <c r="B373" s="3"/>
      <c r="C373" s="3"/>
      <c r="D373" s="3"/>
      <c r="E373" s="3"/>
    </row>
    <row r="374" ht="15.75" customHeight="1">
      <c r="B374" s="3"/>
      <c r="C374" s="3"/>
      <c r="D374" s="3"/>
      <c r="E374" s="3"/>
    </row>
    <row r="375" ht="15.75" customHeight="1">
      <c r="B375" s="3"/>
      <c r="C375" s="3"/>
      <c r="D375" s="3"/>
      <c r="E375" s="3"/>
    </row>
    <row r="376" ht="15.75" customHeight="1">
      <c r="B376" s="3"/>
      <c r="C376" s="3"/>
      <c r="D376" s="3"/>
      <c r="E376" s="3"/>
    </row>
    <row r="377" ht="15.75" customHeight="1">
      <c r="B377" s="3"/>
      <c r="C377" s="3"/>
      <c r="D377" s="3"/>
      <c r="E377" s="3"/>
    </row>
    <row r="378" ht="15.75" customHeight="1">
      <c r="B378" s="3"/>
      <c r="C378" s="3"/>
      <c r="D378" s="3"/>
      <c r="E378" s="3"/>
    </row>
    <row r="379" ht="15.75" customHeight="1">
      <c r="B379" s="3"/>
      <c r="C379" s="3"/>
      <c r="D379" s="3"/>
      <c r="E379" s="3"/>
    </row>
    <row r="380" ht="15.75" customHeight="1">
      <c r="B380" s="3"/>
      <c r="C380" s="3"/>
      <c r="D380" s="3"/>
      <c r="E380" s="3"/>
    </row>
    <row r="381" ht="15.75" customHeight="1">
      <c r="B381" s="3"/>
      <c r="C381" s="3"/>
      <c r="D381" s="3"/>
      <c r="E381" s="3"/>
    </row>
    <row r="382" ht="15.75" customHeight="1">
      <c r="B382" s="3"/>
      <c r="C382" s="3"/>
      <c r="D382" s="3"/>
      <c r="E382" s="3"/>
    </row>
    <row r="383" ht="15.75" customHeight="1">
      <c r="B383" s="3"/>
      <c r="C383" s="3"/>
      <c r="D383" s="3"/>
      <c r="E383" s="3"/>
    </row>
    <row r="384" ht="15.75" customHeight="1">
      <c r="B384" s="3"/>
      <c r="C384" s="3"/>
      <c r="D384" s="3"/>
      <c r="E384" s="3"/>
    </row>
    <row r="385" ht="15.75" customHeight="1">
      <c r="B385" s="3"/>
      <c r="C385" s="3"/>
      <c r="D385" s="3"/>
      <c r="E385" s="3"/>
    </row>
    <row r="386" ht="15.75" customHeight="1">
      <c r="B386" s="3"/>
      <c r="C386" s="3"/>
      <c r="D386" s="3"/>
      <c r="E386" s="3"/>
    </row>
    <row r="387" ht="15.75" customHeight="1">
      <c r="B387" s="3"/>
      <c r="C387" s="3"/>
      <c r="D387" s="3"/>
      <c r="E387" s="3"/>
    </row>
    <row r="388" ht="15.75" customHeight="1">
      <c r="B388" s="3"/>
      <c r="C388" s="3"/>
      <c r="D388" s="3"/>
      <c r="E388" s="3"/>
    </row>
    <row r="389" ht="15.75" customHeight="1">
      <c r="B389" s="3"/>
      <c r="C389" s="3"/>
      <c r="D389" s="3"/>
      <c r="E389" s="3"/>
    </row>
    <row r="390" ht="15.75" customHeight="1">
      <c r="B390" s="3"/>
      <c r="C390" s="3"/>
      <c r="D390" s="3"/>
      <c r="E390" s="3"/>
    </row>
    <row r="391" ht="15.75" customHeight="1">
      <c r="B391" s="3"/>
      <c r="C391" s="3"/>
      <c r="D391" s="3"/>
      <c r="E391" s="3"/>
    </row>
    <row r="392" ht="15.75" customHeight="1">
      <c r="B392" s="3"/>
      <c r="C392" s="3"/>
      <c r="D392" s="3"/>
      <c r="E392" s="3"/>
    </row>
    <row r="393" ht="15.75" customHeight="1">
      <c r="B393" s="3"/>
      <c r="C393" s="3"/>
      <c r="D393" s="3"/>
      <c r="E393" s="3"/>
    </row>
    <row r="394" ht="15.75" customHeight="1">
      <c r="B394" s="3"/>
      <c r="C394" s="3"/>
      <c r="D394" s="3"/>
      <c r="E394" s="3"/>
    </row>
    <row r="395" ht="15.75" customHeight="1">
      <c r="B395" s="3"/>
      <c r="C395" s="3"/>
      <c r="D395" s="3"/>
      <c r="E395" s="3"/>
    </row>
    <row r="396" ht="15.75" customHeight="1">
      <c r="B396" s="3"/>
      <c r="C396" s="3"/>
      <c r="D396" s="3"/>
      <c r="E396" s="3"/>
    </row>
    <row r="397" ht="15.75" customHeight="1">
      <c r="B397" s="3"/>
      <c r="C397" s="3"/>
      <c r="D397" s="3"/>
      <c r="E397" s="3"/>
    </row>
    <row r="398" ht="15.75" customHeight="1">
      <c r="B398" s="3"/>
      <c r="C398" s="3"/>
      <c r="D398" s="3"/>
      <c r="E398" s="3"/>
    </row>
    <row r="399" ht="15.75" customHeight="1">
      <c r="B399" s="3"/>
      <c r="C399" s="3"/>
      <c r="D399" s="3"/>
      <c r="E399" s="3"/>
    </row>
    <row r="400" ht="15.75" customHeight="1">
      <c r="B400" s="3"/>
      <c r="C400" s="3"/>
      <c r="D400" s="3"/>
      <c r="E400" s="3"/>
    </row>
    <row r="401" ht="15.75" customHeight="1">
      <c r="B401" s="3"/>
      <c r="C401" s="3"/>
      <c r="D401" s="3"/>
      <c r="E401" s="3"/>
    </row>
    <row r="402" ht="15.75" customHeight="1">
      <c r="B402" s="3"/>
      <c r="C402" s="3"/>
      <c r="D402" s="3"/>
      <c r="E402" s="3"/>
    </row>
    <row r="403" ht="15.75" customHeight="1">
      <c r="B403" s="3"/>
      <c r="C403" s="3"/>
      <c r="D403" s="3"/>
      <c r="E403" s="3"/>
    </row>
    <row r="404" ht="15.75" customHeight="1">
      <c r="B404" s="3"/>
      <c r="C404" s="3"/>
      <c r="D404" s="3"/>
      <c r="E404" s="3"/>
    </row>
    <row r="405" ht="15.75" customHeight="1">
      <c r="B405" s="3"/>
      <c r="C405" s="3"/>
      <c r="D405" s="3"/>
      <c r="E405" s="3"/>
    </row>
    <row r="406" ht="15.75" customHeight="1">
      <c r="B406" s="3"/>
      <c r="C406" s="3"/>
      <c r="D406" s="3"/>
      <c r="E406" s="3"/>
    </row>
    <row r="407" ht="15.75" customHeight="1">
      <c r="B407" s="3"/>
      <c r="C407" s="3"/>
      <c r="D407" s="3"/>
      <c r="E407" s="3"/>
    </row>
    <row r="408" ht="15.75" customHeight="1">
      <c r="B408" s="3"/>
      <c r="C408" s="3"/>
      <c r="D408" s="3"/>
      <c r="E408" s="3"/>
    </row>
    <row r="409" ht="15.75" customHeight="1">
      <c r="B409" s="3"/>
      <c r="C409" s="3"/>
      <c r="D409" s="3"/>
      <c r="E409" s="3"/>
    </row>
    <row r="410" ht="15.75" customHeight="1">
      <c r="B410" s="3"/>
      <c r="C410" s="3"/>
      <c r="D410" s="3"/>
      <c r="E410" s="3"/>
    </row>
    <row r="411" ht="15.75" customHeight="1">
      <c r="B411" s="3"/>
      <c r="C411" s="3"/>
      <c r="D411" s="3"/>
      <c r="E411" s="3"/>
    </row>
    <row r="412" ht="15.75" customHeight="1">
      <c r="B412" s="3"/>
      <c r="C412" s="3"/>
      <c r="D412" s="3"/>
      <c r="E412" s="3"/>
    </row>
    <row r="413" ht="15.75" customHeight="1">
      <c r="B413" s="3"/>
      <c r="C413" s="3"/>
      <c r="D413" s="3"/>
      <c r="E413" s="3"/>
    </row>
    <row r="414" ht="15.75" customHeight="1">
      <c r="B414" s="3"/>
      <c r="C414" s="3"/>
      <c r="D414" s="3"/>
      <c r="E414" s="3"/>
    </row>
    <row r="415" ht="15.75" customHeight="1">
      <c r="B415" s="3"/>
      <c r="C415" s="3"/>
      <c r="D415" s="3"/>
      <c r="E415" s="3"/>
    </row>
    <row r="416" ht="15.75" customHeight="1">
      <c r="B416" s="3"/>
      <c r="C416" s="3"/>
      <c r="D416" s="3"/>
      <c r="E416" s="3"/>
    </row>
    <row r="417" ht="15.75" customHeight="1">
      <c r="B417" s="3"/>
      <c r="C417" s="3"/>
      <c r="D417" s="3"/>
      <c r="E417" s="3"/>
    </row>
    <row r="418" ht="15.75" customHeight="1">
      <c r="B418" s="3"/>
      <c r="C418" s="3"/>
      <c r="D418" s="3"/>
      <c r="E418" s="3"/>
    </row>
    <row r="419" ht="15.75" customHeight="1">
      <c r="B419" s="3"/>
      <c r="C419" s="3"/>
      <c r="D419" s="3"/>
      <c r="E419" s="3"/>
    </row>
    <row r="420" ht="15.75" customHeight="1">
      <c r="B420" s="3"/>
      <c r="C420" s="3"/>
      <c r="D420" s="3"/>
      <c r="E420" s="3"/>
    </row>
    <row r="421" ht="15.75" customHeight="1">
      <c r="B421" s="3"/>
      <c r="C421" s="3"/>
      <c r="D421" s="3"/>
      <c r="E421" s="3"/>
    </row>
    <row r="422" ht="15.75" customHeight="1">
      <c r="B422" s="3"/>
      <c r="C422" s="3"/>
      <c r="D422" s="3"/>
      <c r="E422" s="3"/>
    </row>
    <row r="423" ht="15.75" customHeight="1">
      <c r="B423" s="3"/>
      <c r="C423" s="3"/>
      <c r="D423" s="3"/>
      <c r="E423" s="3"/>
    </row>
    <row r="424" ht="15.75" customHeight="1">
      <c r="B424" s="3"/>
      <c r="C424" s="3"/>
      <c r="D424" s="3"/>
      <c r="E424" s="3"/>
    </row>
    <row r="425" ht="15.75" customHeight="1">
      <c r="B425" s="3"/>
      <c r="C425" s="3"/>
      <c r="D425" s="3"/>
      <c r="E425" s="3"/>
    </row>
    <row r="426" ht="15.75" customHeight="1">
      <c r="B426" s="3"/>
      <c r="C426" s="3"/>
      <c r="D426" s="3"/>
      <c r="E426" s="3"/>
    </row>
    <row r="427" ht="15.75" customHeight="1">
      <c r="B427" s="3"/>
      <c r="C427" s="3"/>
      <c r="D427" s="3"/>
      <c r="E427" s="3"/>
    </row>
    <row r="428" ht="15.75" customHeight="1">
      <c r="B428" s="3"/>
      <c r="C428" s="3"/>
      <c r="D428" s="3"/>
      <c r="E428" s="3"/>
    </row>
    <row r="429" ht="15.75" customHeight="1">
      <c r="B429" s="3"/>
      <c r="C429" s="3"/>
      <c r="D429" s="3"/>
      <c r="E429" s="3"/>
    </row>
    <row r="430" ht="15.75" customHeight="1">
      <c r="B430" s="3"/>
      <c r="C430" s="3"/>
      <c r="D430" s="3"/>
      <c r="E430" s="3"/>
    </row>
    <row r="431" ht="15.75" customHeight="1">
      <c r="B431" s="3"/>
      <c r="C431" s="3"/>
      <c r="D431" s="3"/>
      <c r="E431" s="3"/>
    </row>
    <row r="432" ht="15.75" customHeight="1">
      <c r="B432" s="3"/>
      <c r="C432" s="3"/>
      <c r="D432" s="3"/>
      <c r="E432" s="3"/>
    </row>
    <row r="433" ht="15.75" customHeight="1">
      <c r="B433" s="3"/>
      <c r="C433" s="3"/>
      <c r="D433" s="3"/>
      <c r="E433" s="3"/>
    </row>
    <row r="434" ht="15.75" customHeight="1">
      <c r="B434" s="3"/>
      <c r="C434" s="3"/>
      <c r="D434" s="3"/>
      <c r="E434" s="3"/>
    </row>
    <row r="435" ht="15.75" customHeight="1">
      <c r="B435" s="3"/>
      <c r="C435" s="3"/>
      <c r="D435" s="3"/>
      <c r="E435" s="3"/>
    </row>
    <row r="436" ht="15.75" customHeight="1">
      <c r="B436" s="3"/>
      <c r="C436" s="3"/>
      <c r="D436" s="3"/>
      <c r="E436" s="3"/>
    </row>
    <row r="437" ht="15.75" customHeight="1">
      <c r="B437" s="3"/>
      <c r="C437" s="3"/>
      <c r="D437" s="3"/>
      <c r="E437" s="3"/>
    </row>
    <row r="438" ht="15.75" customHeight="1">
      <c r="B438" s="3"/>
      <c r="C438" s="3"/>
      <c r="D438" s="3"/>
      <c r="E438" s="3"/>
    </row>
    <row r="439" ht="15.75" customHeight="1">
      <c r="B439" s="3"/>
      <c r="C439" s="3"/>
      <c r="D439" s="3"/>
      <c r="E439" s="3"/>
    </row>
    <row r="440" ht="15.75" customHeight="1">
      <c r="B440" s="3"/>
      <c r="C440" s="3"/>
      <c r="D440" s="3"/>
      <c r="E440" s="3"/>
    </row>
    <row r="441" ht="15.75" customHeight="1">
      <c r="B441" s="3"/>
      <c r="C441" s="3"/>
      <c r="D441" s="3"/>
      <c r="E441" s="3"/>
    </row>
    <row r="442" ht="15.75" customHeight="1">
      <c r="B442" s="3"/>
      <c r="C442" s="3"/>
      <c r="D442" s="3"/>
      <c r="E442" s="3"/>
    </row>
    <row r="443" ht="15.75" customHeight="1">
      <c r="B443" s="3"/>
      <c r="C443" s="3"/>
      <c r="D443" s="3"/>
      <c r="E443" s="3"/>
    </row>
    <row r="444" ht="15.75" customHeight="1">
      <c r="B444" s="3"/>
      <c r="C444" s="3"/>
      <c r="D444" s="3"/>
      <c r="E444" s="3"/>
    </row>
    <row r="445" ht="15.75" customHeight="1">
      <c r="B445" s="3"/>
      <c r="C445" s="3"/>
      <c r="D445" s="3"/>
      <c r="E445" s="3"/>
    </row>
    <row r="446" ht="15.75" customHeight="1">
      <c r="B446" s="3"/>
      <c r="C446" s="3"/>
      <c r="D446" s="3"/>
      <c r="E446" s="3"/>
    </row>
    <row r="447" ht="15.75" customHeight="1">
      <c r="B447" s="3"/>
      <c r="C447" s="3"/>
      <c r="D447" s="3"/>
      <c r="E447" s="3"/>
    </row>
    <row r="448" ht="15.75" customHeight="1">
      <c r="B448" s="3"/>
      <c r="C448" s="3"/>
      <c r="D448" s="3"/>
      <c r="E448" s="3"/>
    </row>
    <row r="449" ht="15.75" customHeight="1">
      <c r="B449" s="3"/>
      <c r="C449" s="3"/>
      <c r="D449" s="3"/>
      <c r="E449" s="3"/>
    </row>
    <row r="450" ht="15.75" customHeight="1">
      <c r="B450" s="3"/>
      <c r="C450" s="3"/>
      <c r="D450" s="3"/>
      <c r="E450" s="3"/>
    </row>
    <row r="451" ht="15.75" customHeight="1">
      <c r="B451" s="3"/>
      <c r="C451" s="3"/>
      <c r="D451" s="3"/>
      <c r="E451" s="3"/>
    </row>
    <row r="452" ht="15.75" customHeight="1">
      <c r="B452" s="3"/>
      <c r="C452" s="3"/>
      <c r="D452" s="3"/>
      <c r="E452" s="3"/>
    </row>
    <row r="453" ht="15.75" customHeight="1">
      <c r="B453" s="3"/>
      <c r="C453" s="3"/>
      <c r="D453" s="3"/>
      <c r="E453" s="3"/>
    </row>
    <row r="454" ht="15.75" customHeight="1">
      <c r="B454" s="3"/>
      <c r="C454" s="3"/>
      <c r="D454" s="3"/>
      <c r="E454" s="3"/>
    </row>
    <row r="455" ht="15.75" customHeight="1">
      <c r="B455" s="3"/>
      <c r="C455" s="3"/>
      <c r="D455" s="3"/>
      <c r="E455" s="3"/>
    </row>
    <row r="456" ht="15.75" customHeight="1">
      <c r="B456" s="3"/>
      <c r="C456" s="3"/>
      <c r="D456" s="3"/>
      <c r="E456" s="3"/>
    </row>
    <row r="457" ht="15.75" customHeight="1">
      <c r="B457" s="3"/>
      <c r="C457" s="3"/>
      <c r="D457" s="3"/>
      <c r="E457" s="3"/>
    </row>
    <row r="458" ht="15.75" customHeight="1">
      <c r="B458" s="3"/>
      <c r="C458" s="3"/>
      <c r="D458" s="3"/>
      <c r="E458" s="3"/>
    </row>
    <row r="459" ht="15.75" customHeight="1">
      <c r="B459" s="3"/>
      <c r="C459" s="3"/>
      <c r="D459" s="3"/>
      <c r="E459" s="3"/>
    </row>
    <row r="460" ht="15.75" customHeight="1">
      <c r="B460" s="3"/>
      <c r="C460" s="3"/>
      <c r="D460" s="3"/>
      <c r="E460" s="3"/>
    </row>
    <row r="461" ht="15.75" customHeight="1">
      <c r="B461" s="3"/>
      <c r="C461" s="3"/>
      <c r="D461" s="3"/>
      <c r="E461" s="3"/>
    </row>
    <row r="462" ht="15.75" customHeight="1">
      <c r="B462" s="3"/>
      <c r="C462" s="3"/>
      <c r="D462" s="3"/>
      <c r="E462" s="3"/>
    </row>
    <row r="463" ht="15.75" customHeight="1">
      <c r="B463" s="3"/>
      <c r="C463" s="3"/>
      <c r="D463" s="3"/>
      <c r="E463" s="3"/>
    </row>
    <row r="464" ht="15.75" customHeight="1">
      <c r="B464" s="3"/>
      <c r="C464" s="3"/>
      <c r="D464" s="3"/>
      <c r="E464" s="3"/>
    </row>
    <row r="465" ht="15.75" customHeight="1">
      <c r="B465" s="3"/>
      <c r="C465" s="3"/>
      <c r="D465" s="3"/>
      <c r="E465" s="3"/>
    </row>
    <row r="466" ht="15.75" customHeight="1">
      <c r="B466" s="3"/>
      <c r="C466" s="3"/>
      <c r="D466" s="3"/>
      <c r="E466" s="3"/>
    </row>
    <row r="467" ht="15.75" customHeight="1">
      <c r="B467" s="3"/>
      <c r="C467" s="3"/>
      <c r="D467" s="3"/>
      <c r="E467" s="3"/>
    </row>
    <row r="468" ht="15.75" customHeight="1">
      <c r="B468" s="3"/>
      <c r="C468" s="3"/>
      <c r="D468" s="3"/>
      <c r="E468" s="3"/>
    </row>
    <row r="469" ht="15.75" customHeight="1">
      <c r="B469" s="3"/>
      <c r="C469" s="3"/>
      <c r="D469" s="3"/>
      <c r="E469" s="3"/>
    </row>
    <row r="470" ht="15.75" customHeight="1">
      <c r="B470" s="3"/>
      <c r="C470" s="3"/>
      <c r="D470" s="3"/>
      <c r="E470" s="3"/>
    </row>
    <row r="471" ht="15.75" customHeight="1">
      <c r="B471" s="3"/>
      <c r="C471" s="3"/>
      <c r="D471" s="3"/>
      <c r="E471" s="3"/>
    </row>
    <row r="472" ht="15.75" customHeight="1">
      <c r="B472" s="3"/>
      <c r="C472" s="3"/>
      <c r="D472" s="3"/>
      <c r="E472" s="3"/>
    </row>
    <row r="473" ht="15.75" customHeight="1">
      <c r="B473" s="3"/>
      <c r="C473" s="3"/>
      <c r="D473" s="3"/>
      <c r="E473" s="3"/>
    </row>
    <row r="474" ht="15.75" customHeight="1">
      <c r="B474" s="3"/>
      <c r="C474" s="3"/>
      <c r="D474" s="3"/>
      <c r="E474" s="3"/>
    </row>
    <row r="475" ht="15.75" customHeight="1">
      <c r="B475" s="3"/>
      <c r="C475" s="3"/>
      <c r="D475" s="3"/>
      <c r="E475" s="3"/>
    </row>
    <row r="476" ht="15.75" customHeight="1">
      <c r="B476" s="3"/>
      <c r="C476" s="3"/>
      <c r="D476" s="3"/>
      <c r="E476" s="3"/>
    </row>
    <row r="477" ht="15.75" customHeight="1">
      <c r="B477" s="3"/>
      <c r="C477" s="3"/>
      <c r="D477" s="3"/>
      <c r="E477" s="3"/>
    </row>
    <row r="478" ht="15.75" customHeight="1">
      <c r="B478" s="3"/>
      <c r="C478" s="3"/>
      <c r="D478" s="3"/>
      <c r="E478" s="3"/>
    </row>
    <row r="479" ht="15.75" customHeight="1">
      <c r="B479" s="3"/>
      <c r="C479" s="3"/>
      <c r="D479" s="3"/>
      <c r="E479" s="3"/>
    </row>
    <row r="480" ht="15.75" customHeight="1">
      <c r="B480" s="3"/>
      <c r="C480" s="3"/>
      <c r="D480" s="3"/>
      <c r="E480" s="3"/>
    </row>
    <row r="481" ht="15.75" customHeight="1">
      <c r="B481" s="3"/>
      <c r="C481" s="3"/>
      <c r="D481" s="3"/>
      <c r="E481" s="3"/>
    </row>
    <row r="482" ht="15.75" customHeight="1">
      <c r="B482" s="3"/>
      <c r="C482" s="3"/>
      <c r="D482" s="3"/>
      <c r="E482" s="3"/>
    </row>
    <row r="483" ht="15.75" customHeight="1">
      <c r="B483" s="3"/>
      <c r="C483" s="3"/>
      <c r="D483" s="3"/>
      <c r="E483" s="3"/>
    </row>
    <row r="484" ht="15.75" customHeight="1">
      <c r="B484" s="3"/>
      <c r="C484" s="3"/>
      <c r="D484" s="3"/>
      <c r="E484" s="3"/>
    </row>
    <row r="485" ht="15.75" customHeight="1">
      <c r="B485" s="3"/>
      <c r="C485" s="3"/>
      <c r="D485" s="3"/>
      <c r="E485" s="3"/>
    </row>
    <row r="486" ht="15.75" customHeight="1">
      <c r="B486" s="3"/>
      <c r="C486" s="3"/>
      <c r="D486" s="3"/>
      <c r="E486" s="3"/>
    </row>
    <row r="487" ht="15.75" customHeight="1">
      <c r="B487" s="3"/>
      <c r="C487" s="3"/>
      <c r="D487" s="3"/>
      <c r="E487" s="3"/>
    </row>
    <row r="488" ht="15.75" customHeight="1">
      <c r="B488" s="3"/>
      <c r="C488" s="3"/>
      <c r="D488" s="3"/>
      <c r="E488" s="3"/>
    </row>
    <row r="489" ht="15.75" customHeight="1">
      <c r="B489" s="3"/>
      <c r="C489" s="3"/>
      <c r="D489" s="3"/>
      <c r="E489" s="3"/>
    </row>
    <row r="490" ht="15.75" customHeight="1">
      <c r="B490" s="3"/>
      <c r="C490" s="3"/>
      <c r="D490" s="3"/>
      <c r="E490" s="3"/>
    </row>
    <row r="491" ht="15.75" customHeight="1">
      <c r="B491" s="3"/>
      <c r="C491" s="3"/>
      <c r="D491" s="3"/>
      <c r="E491" s="3"/>
    </row>
    <row r="492" ht="15.75" customHeight="1">
      <c r="B492" s="3"/>
      <c r="C492" s="3"/>
      <c r="D492" s="3"/>
      <c r="E492" s="3"/>
    </row>
    <row r="493" ht="15.75" customHeight="1">
      <c r="B493" s="3"/>
      <c r="C493" s="3"/>
      <c r="D493" s="3"/>
      <c r="E493" s="3"/>
    </row>
    <row r="494" ht="15.75" customHeight="1">
      <c r="B494" s="3"/>
      <c r="C494" s="3"/>
      <c r="D494" s="3"/>
      <c r="E494" s="3"/>
    </row>
    <row r="495" ht="15.75" customHeight="1">
      <c r="B495" s="3"/>
      <c r="C495" s="3"/>
      <c r="D495" s="3"/>
      <c r="E495" s="3"/>
    </row>
    <row r="496" ht="15.75" customHeight="1">
      <c r="B496" s="3"/>
      <c r="C496" s="3"/>
      <c r="D496" s="3"/>
      <c r="E496" s="3"/>
    </row>
    <row r="497" ht="15.75" customHeight="1">
      <c r="B497" s="3"/>
      <c r="C497" s="3"/>
      <c r="D497" s="3"/>
      <c r="E497" s="3"/>
    </row>
    <row r="498" ht="15.75" customHeight="1">
      <c r="B498" s="3"/>
      <c r="C498" s="3"/>
      <c r="D498" s="3"/>
      <c r="E498" s="3"/>
    </row>
    <row r="499" ht="15.75" customHeight="1">
      <c r="B499" s="3"/>
      <c r="C499" s="3"/>
      <c r="D499" s="3"/>
      <c r="E499" s="3"/>
    </row>
    <row r="500" ht="15.75" customHeight="1">
      <c r="B500" s="3"/>
      <c r="C500" s="3"/>
      <c r="D500" s="3"/>
      <c r="E500" s="3"/>
    </row>
    <row r="501" ht="15.75" customHeight="1">
      <c r="B501" s="3"/>
      <c r="C501" s="3"/>
      <c r="D501" s="3"/>
      <c r="E501" s="3"/>
    </row>
    <row r="502" ht="15.75" customHeight="1">
      <c r="B502" s="3"/>
      <c r="C502" s="3"/>
      <c r="D502" s="3"/>
      <c r="E502" s="3"/>
    </row>
    <row r="503" ht="15.75" customHeight="1">
      <c r="B503" s="3"/>
      <c r="C503" s="3"/>
      <c r="D503" s="3"/>
      <c r="E503" s="3"/>
    </row>
    <row r="504" ht="15.75" customHeight="1">
      <c r="B504" s="3"/>
      <c r="C504" s="3"/>
      <c r="D504" s="3"/>
      <c r="E504" s="3"/>
    </row>
    <row r="505" ht="15.75" customHeight="1">
      <c r="B505" s="3"/>
      <c r="C505" s="3"/>
      <c r="D505" s="3"/>
      <c r="E505" s="3"/>
    </row>
    <row r="506" ht="15.75" customHeight="1">
      <c r="B506" s="3"/>
      <c r="C506" s="3"/>
      <c r="D506" s="3"/>
      <c r="E506" s="3"/>
    </row>
    <row r="507" ht="15.75" customHeight="1">
      <c r="B507" s="3"/>
      <c r="C507" s="3"/>
      <c r="D507" s="3"/>
      <c r="E507" s="3"/>
    </row>
    <row r="508" ht="15.75" customHeight="1">
      <c r="B508" s="3"/>
      <c r="C508" s="3"/>
      <c r="D508" s="3"/>
      <c r="E508" s="3"/>
    </row>
    <row r="509" ht="15.75" customHeight="1">
      <c r="B509" s="3"/>
      <c r="C509" s="3"/>
      <c r="D509" s="3"/>
      <c r="E509" s="3"/>
    </row>
    <row r="510" ht="15.75" customHeight="1">
      <c r="B510" s="3"/>
      <c r="C510" s="3"/>
      <c r="D510" s="3"/>
      <c r="E510" s="3"/>
    </row>
    <row r="511" ht="15.75" customHeight="1">
      <c r="B511" s="3"/>
      <c r="C511" s="3"/>
      <c r="D511" s="3"/>
      <c r="E511" s="3"/>
    </row>
    <row r="512" ht="15.75" customHeight="1">
      <c r="B512" s="3"/>
      <c r="C512" s="3"/>
      <c r="D512" s="3"/>
      <c r="E512" s="3"/>
    </row>
    <row r="513" ht="15.75" customHeight="1">
      <c r="B513" s="3"/>
      <c r="C513" s="3"/>
      <c r="D513" s="3"/>
      <c r="E513" s="3"/>
    </row>
    <row r="514" ht="15.75" customHeight="1">
      <c r="B514" s="3"/>
      <c r="C514" s="3"/>
      <c r="D514" s="3"/>
      <c r="E514" s="3"/>
    </row>
    <row r="515" ht="15.75" customHeight="1">
      <c r="B515" s="3"/>
      <c r="C515" s="3"/>
      <c r="D515" s="3"/>
      <c r="E515" s="3"/>
    </row>
    <row r="516" ht="15.75" customHeight="1">
      <c r="B516" s="3"/>
      <c r="C516" s="3"/>
      <c r="D516" s="3"/>
      <c r="E516" s="3"/>
    </row>
    <row r="517" ht="15.75" customHeight="1">
      <c r="B517" s="3"/>
      <c r="C517" s="3"/>
      <c r="D517" s="3"/>
      <c r="E517" s="3"/>
    </row>
    <row r="518" ht="15.75" customHeight="1">
      <c r="B518" s="3"/>
      <c r="C518" s="3"/>
      <c r="D518" s="3"/>
      <c r="E518" s="3"/>
    </row>
    <row r="519" ht="15.75" customHeight="1">
      <c r="B519" s="3"/>
      <c r="C519" s="3"/>
      <c r="D519" s="3"/>
      <c r="E519" s="3"/>
    </row>
    <row r="520" ht="15.75" customHeight="1">
      <c r="B520" s="3"/>
      <c r="C520" s="3"/>
      <c r="D520" s="3"/>
      <c r="E520" s="3"/>
    </row>
    <row r="521" ht="15.75" customHeight="1">
      <c r="B521" s="3"/>
      <c r="C521" s="3"/>
      <c r="D521" s="3"/>
      <c r="E521" s="3"/>
    </row>
    <row r="522" ht="15.75" customHeight="1">
      <c r="B522" s="3"/>
      <c r="C522" s="3"/>
      <c r="D522" s="3"/>
      <c r="E522" s="3"/>
    </row>
    <row r="523" ht="15.75" customHeight="1">
      <c r="B523" s="3"/>
      <c r="C523" s="3"/>
      <c r="D523" s="3"/>
      <c r="E523" s="3"/>
    </row>
    <row r="524" ht="15.75" customHeight="1">
      <c r="B524" s="3"/>
      <c r="C524" s="3"/>
      <c r="D524" s="3"/>
      <c r="E524" s="3"/>
    </row>
    <row r="525" ht="15.75" customHeight="1">
      <c r="B525" s="3"/>
      <c r="C525" s="3"/>
      <c r="D525" s="3"/>
      <c r="E525" s="3"/>
    </row>
    <row r="526" ht="15.75" customHeight="1">
      <c r="B526" s="3"/>
      <c r="C526" s="3"/>
      <c r="D526" s="3"/>
      <c r="E526" s="3"/>
    </row>
    <row r="527" ht="15.75" customHeight="1">
      <c r="B527" s="3"/>
      <c r="C527" s="3"/>
      <c r="D527" s="3"/>
      <c r="E527" s="3"/>
    </row>
    <row r="528" ht="15.75" customHeight="1">
      <c r="B528" s="3"/>
      <c r="C528" s="3"/>
      <c r="D528" s="3"/>
      <c r="E528" s="3"/>
    </row>
    <row r="529" ht="15.75" customHeight="1">
      <c r="B529" s="3"/>
      <c r="C529" s="3"/>
      <c r="D529" s="3"/>
      <c r="E529" s="3"/>
    </row>
    <row r="530" ht="15.75" customHeight="1">
      <c r="B530" s="3"/>
      <c r="C530" s="3"/>
      <c r="D530" s="3"/>
      <c r="E530" s="3"/>
    </row>
    <row r="531" ht="15.75" customHeight="1">
      <c r="B531" s="3"/>
      <c r="C531" s="3"/>
      <c r="D531" s="3"/>
      <c r="E531" s="3"/>
    </row>
    <row r="532" ht="15.75" customHeight="1">
      <c r="B532" s="3"/>
      <c r="C532" s="3"/>
      <c r="D532" s="3"/>
      <c r="E532" s="3"/>
    </row>
    <row r="533" ht="15.75" customHeight="1">
      <c r="B533" s="3"/>
      <c r="C533" s="3"/>
      <c r="D533" s="3"/>
      <c r="E533" s="3"/>
    </row>
    <row r="534" ht="15.75" customHeight="1">
      <c r="B534" s="3"/>
      <c r="C534" s="3"/>
      <c r="D534" s="3"/>
      <c r="E534" s="3"/>
    </row>
    <row r="535" ht="15.75" customHeight="1">
      <c r="B535" s="3"/>
      <c r="C535" s="3"/>
      <c r="D535" s="3"/>
      <c r="E535" s="3"/>
    </row>
    <row r="536" ht="15.75" customHeight="1">
      <c r="B536" s="3"/>
      <c r="C536" s="3"/>
      <c r="D536" s="3"/>
      <c r="E536" s="3"/>
    </row>
    <row r="537" ht="15.75" customHeight="1">
      <c r="B537" s="3"/>
      <c r="C537" s="3"/>
      <c r="D537" s="3"/>
      <c r="E537" s="3"/>
    </row>
    <row r="538" ht="15.75" customHeight="1">
      <c r="B538" s="3"/>
      <c r="C538" s="3"/>
      <c r="D538" s="3"/>
      <c r="E538" s="3"/>
    </row>
    <row r="539" ht="15.75" customHeight="1">
      <c r="B539" s="3"/>
      <c r="C539" s="3"/>
      <c r="D539" s="3"/>
      <c r="E539" s="3"/>
    </row>
    <row r="540" ht="15.75" customHeight="1">
      <c r="B540" s="3"/>
      <c r="C540" s="3"/>
      <c r="D540" s="3"/>
      <c r="E540" s="3"/>
    </row>
    <row r="541" ht="15.75" customHeight="1">
      <c r="B541" s="3"/>
      <c r="C541" s="3"/>
      <c r="D541" s="3"/>
      <c r="E541" s="3"/>
    </row>
    <row r="542" ht="15.75" customHeight="1">
      <c r="B542" s="3"/>
      <c r="C542" s="3"/>
      <c r="D542" s="3"/>
      <c r="E542" s="3"/>
    </row>
    <row r="543" ht="15.75" customHeight="1">
      <c r="B543" s="3"/>
      <c r="C543" s="3"/>
      <c r="D543" s="3"/>
      <c r="E543" s="3"/>
    </row>
    <row r="544" ht="15.75" customHeight="1">
      <c r="B544" s="3"/>
      <c r="C544" s="3"/>
      <c r="D544" s="3"/>
      <c r="E544" s="3"/>
    </row>
    <row r="545" ht="15.75" customHeight="1">
      <c r="B545" s="3"/>
      <c r="C545" s="3"/>
      <c r="D545" s="3"/>
      <c r="E545" s="3"/>
    </row>
    <row r="546" ht="15.75" customHeight="1">
      <c r="B546" s="3"/>
      <c r="C546" s="3"/>
      <c r="D546" s="3"/>
      <c r="E546" s="3"/>
    </row>
    <row r="547" ht="15.75" customHeight="1">
      <c r="B547" s="3"/>
      <c r="C547" s="3"/>
      <c r="D547" s="3"/>
      <c r="E547" s="3"/>
    </row>
    <row r="548" ht="15.75" customHeight="1">
      <c r="B548" s="3"/>
      <c r="C548" s="3"/>
      <c r="D548" s="3"/>
      <c r="E548" s="3"/>
    </row>
    <row r="549" ht="15.75" customHeight="1">
      <c r="B549" s="3"/>
      <c r="C549" s="3"/>
      <c r="D549" s="3"/>
      <c r="E549" s="3"/>
    </row>
    <row r="550" ht="15.75" customHeight="1">
      <c r="B550" s="3"/>
      <c r="C550" s="3"/>
      <c r="D550" s="3"/>
      <c r="E550" s="3"/>
    </row>
    <row r="551" ht="15.75" customHeight="1">
      <c r="B551" s="3"/>
      <c r="C551" s="3"/>
      <c r="D551" s="3"/>
      <c r="E551" s="3"/>
    </row>
    <row r="552" ht="15.75" customHeight="1">
      <c r="B552" s="3"/>
      <c r="C552" s="3"/>
      <c r="D552" s="3"/>
      <c r="E552" s="3"/>
    </row>
    <row r="553" ht="15.75" customHeight="1">
      <c r="B553" s="3"/>
      <c r="C553" s="3"/>
      <c r="D553" s="3"/>
      <c r="E553" s="3"/>
    </row>
    <row r="554" ht="15.75" customHeight="1">
      <c r="B554" s="3"/>
      <c r="C554" s="3"/>
      <c r="D554" s="3"/>
      <c r="E554" s="3"/>
    </row>
    <row r="555" ht="15.75" customHeight="1">
      <c r="B555" s="3"/>
      <c r="C555" s="3"/>
      <c r="D555" s="3"/>
      <c r="E555" s="3"/>
    </row>
    <row r="556" ht="15.75" customHeight="1">
      <c r="B556" s="3"/>
      <c r="C556" s="3"/>
      <c r="D556" s="3"/>
      <c r="E556" s="3"/>
    </row>
    <row r="557" ht="15.75" customHeight="1">
      <c r="B557" s="3"/>
      <c r="C557" s="3"/>
      <c r="D557" s="3"/>
      <c r="E557" s="3"/>
    </row>
    <row r="558" ht="15.75" customHeight="1">
      <c r="B558" s="3"/>
      <c r="C558" s="3"/>
      <c r="D558" s="3"/>
      <c r="E558" s="3"/>
    </row>
    <row r="559" ht="15.75" customHeight="1">
      <c r="B559" s="3"/>
      <c r="C559" s="3"/>
      <c r="D559" s="3"/>
      <c r="E559" s="3"/>
    </row>
    <row r="560" ht="15.75" customHeight="1">
      <c r="B560" s="3"/>
      <c r="C560" s="3"/>
      <c r="D560" s="3"/>
      <c r="E560" s="3"/>
    </row>
    <row r="561" ht="15.75" customHeight="1">
      <c r="B561" s="3"/>
      <c r="C561" s="3"/>
      <c r="D561" s="3"/>
      <c r="E561" s="3"/>
    </row>
    <row r="562" ht="15.75" customHeight="1">
      <c r="B562" s="3"/>
      <c r="C562" s="3"/>
      <c r="D562" s="3"/>
      <c r="E562" s="3"/>
    </row>
    <row r="563" ht="15.75" customHeight="1">
      <c r="B563" s="3"/>
      <c r="C563" s="3"/>
      <c r="D563" s="3"/>
      <c r="E563" s="3"/>
    </row>
    <row r="564" ht="15.75" customHeight="1">
      <c r="B564" s="3"/>
      <c r="C564" s="3"/>
      <c r="D564" s="3"/>
      <c r="E564" s="3"/>
    </row>
    <row r="565" ht="15.75" customHeight="1">
      <c r="B565" s="3"/>
      <c r="C565" s="3"/>
      <c r="D565" s="3"/>
      <c r="E565" s="3"/>
    </row>
    <row r="566" ht="15.75" customHeight="1">
      <c r="B566" s="3"/>
      <c r="C566" s="3"/>
      <c r="D566" s="3"/>
      <c r="E566" s="3"/>
    </row>
    <row r="567" ht="15.75" customHeight="1">
      <c r="B567" s="3"/>
      <c r="C567" s="3"/>
      <c r="D567" s="3"/>
      <c r="E567" s="3"/>
    </row>
    <row r="568" ht="15.75" customHeight="1">
      <c r="B568" s="3"/>
      <c r="C568" s="3"/>
      <c r="D568" s="3"/>
      <c r="E568" s="3"/>
    </row>
    <row r="569" ht="15.75" customHeight="1">
      <c r="B569" s="3"/>
      <c r="C569" s="3"/>
      <c r="D569" s="3"/>
      <c r="E569" s="3"/>
    </row>
    <row r="570" ht="15.75" customHeight="1">
      <c r="B570" s="3"/>
      <c r="C570" s="3"/>
      <c r="D570" s="3"/>
      <c r="E570" s="3"/>
    </row>
    <row r="571" ht="15.75" customHeight="1">
      <c r="B571" s="3"/>
      <c r="C571" s="3"/>
      <c r="D571" s="3"/>
      <c r="E571" s="3"/>
    </row>
    <row r="572" ht="15.75" customHeight="1">
      <c r="B572" s="3"/>
      <c r="C572" s="3"/>
      <c r="D572" s="3"/>
      <c r="E572" s="3"/>
    </row>
    <row r="573" ht="15.75" customHeight="1">
      <c r="B573" s="3"/>
      <c r="C573" s="3"/>
      <c r="D573" s="3"/>
      <c r="E573" s="3"/>
    </row>
    <row r="574" ht="15.75" customHeight="1">
      <c r="B574" s="3"/>
      <c r="C574" s="3"/>
      <c r="D574" s="3"/>
      <c r="E574" s="3"/>
    </row>
    <row r="575" ht="15.75" customHeight="1">
      <c r="B575" s="3"/>
      <c r="C575" s="3"/>
      <c r="D575" s="3"/>
      <c r="E575" s="3"/>
    </row>
    <row r="576" ht="15.75" customHeight="1">
      <c r="B576" s="3"/>
      <c r="C576" s="3"/>
      <c r="D576" s="3"/>
      <c r="E576" s="3"/>
    </row>
    <row r="577" ht="15.75" customHeight="1">
      <c r="B577" s="3"/>
      <c r="C577" s="3"/>
      <c r="D577" s="3"/>
      <c r="E577" s="3"/>
    </row>
    <row r="578" ht="15.75" customHeight="1">
      <c r="B578" s="3"/>
      <c r="C578" s="3"/>
      <c r="D578" s="3"/>
      <c r="E578" s="3"/>
    </row>
    <row r="579" ht="15.75" customHeight="1">
      <c r="B579" s="3"/>
      <c r="C579" s="3"/>
      <c r="D579" s="3"/>
      <c r="E579" s="3"/>
    </row>
    <row r="580" ht="15.75" customHeight="1">
      <c r="B580" s="3"/>
      <c r="C580" s="3"/>
      <c r="D580" s="3"/>
      <c r="E580" s="3"/>
    </row>
    <row r="581" ht="15.75" customHeight="1">
      <c r="B581" s="3"/>
      <c r="C581" s="3"/>
      <c r="D581" s="3"/>
      <c r="E581" s="3"/>
    </row>
    <row r="582" ht="15.75" customHeight="1">
      <c r="B582" s="3"/>
      <c r="C582" s="3"/>
      <c r="D582" s="3"/>
      <c r="E582" s="3"/>
    </row>
    <row r="583" ht="15.75" customHeight="1">
      <c r="B583" s="3"/>
      <c r="C583" s="3"/>
      <c r="D583" s="3"/>
      <c r="E583" s="3"/>
    </row>
    <row r="584" ht="15.75" customHeight="1">
      <c r="B584" s="3"/>
      <c r="C584" s="3"/>
      <c r="D584" s="3"/>
      <c r="E584" s="3"/>
    </row>
    <row r="585" ht="15.75" customHeight="1">
      <c r="B585" s="3"/>
      <c r="C585" s="3"/>
      <c r="D585" s="3"/>
      <c r="E585" s="3"/>
    </row>
    <row r="586" ht="15.75" customHeight="1">
      <c r="B586" s="3"/>
      <c r="C586" s="3"/>
      <c r="D586" s="3"/>
      <c r="E586" s="3"/>
    </row>
    <row r="587" ht="15.75" customHeight="1">
      <c r="B587" s="3"/>
      <c r="C587" s="3"/>
      <c r="D587" s="3"/>
      <c r="E587" s="3"/>
    </row>
    <row r="588" ht="15.75" customHeight="1">
      <c r="B588" s="3"/>
      <c r="C588" s="3"/>
      <c r="D588" s="3"/>
      <c r="E588" s="3"/>
    </row>
    <row r="589" ht="15.75" customHeight="1">
      <c r="B589" s="3"/>
      <c r="C589" s="3"/>
      <c r="D589" s="3"/>
      <c r="E589" s="3"/>
    </row>
    <row r="590" ht="15.75" customHeight="1">
      <c r="B590" s="3"/>
      <c r="C590" s="3"/>
      <c r="D590" s="3"/>
      <c r="E590" s="3"/>
    </row>
    <row r="591" ht="15.75" customHeight="1">
      <c r="B591" s="3"/>
      <c r="C591" s="3"/>
      <c r="D591" s="3"/>
      <c r="E591" s="3"/>
    </row>
    <row r="592" ht="15.75" customHeight="1">
      <c r="B592" s="3"/>
      <c r="C592" s="3"/>
      <c r="D592" s="3"/>
      <c r="E592" s="3"/>
    </row>
    <row r="593" ht="15.75" customHeight="1">
      <c r="B593" s="3"/>
      <c r="C593" s="3"/>
      <c r="D593" s="3"/>
      <c r="E593" s="3"/>
    </row>
    <row r="594" ht="15.75" customHeight="1">
      <c r="B594" s="3"/>
      <c r="C594" s="3"/>
      <c r="D594" s="3"/>
      <c r="E594" s="3"/>
    </row>
    <row r="595" ht="15.75" customHeight="1">
      <c r="B595" s="3"/>
      <c r="C595" s="3"/>
      <c r="D595" s="3"/>
      <c r="E595" s="3"/>
    </row>
    <row r="596" ht="15.75" customHeight="1">
      <c r="B596" s="3"/>
      <c r="C596" s="3"/>
      <c r="D596" s="3"/>
      <c r="E596" s="3"/>
    </row>
    <row r="597" ht="15.75" customHeight="1">
      <c r="B597" s="3"/>
      <c r="C597" s="3"/>
      <c r="D597" s="3"/>
      <c r="E597" s="3"/>
    </row>
    <row r="598" ht="15.75" customHeight="1">
      <c r="B598" s="3"/>
      <c r="C598" s="3"/>
      <c r="D598" s="3"/>
      <c r="E598" s="3"/>
    </row>
    <row r="599" ht="15.75" customHeight="1">
      <c r="B599" s="3"/>
      <c r="C599" s="3"/>
      <c r="D599" s="3"/>
      <c r="E599" s="3"/>
    </row>
    <row r="600" ht="15.75" customHeight="1">
      <c r="B600" s="3"/>
      <c r="C600" s="3"/>
      <c r="D600" s="3"/>
      <c r="E600" s="3"/>
    </row>
    <row r="601" ht="15.75" customHeight="1">
      <c r="B601" s="3"/>
      <c r="C601" s="3"/>
      <c r="D601" s="3"/>
      <c r="E601" s="3"/>
    </row>
    <row r="602" ht="15.75" customHeight="1">
      <c r="B602" s="3"/>
      <c r="C602" s="3"/>
      <c r="D602" s="3"/>
      <c r="E602" s="3"/>
    </row>
    <row r="603" ht="15.75" customHeight="1">
      <c r="B603" s="3"/>
      <c r="C603" s="3"/>
      <c r="D603" s="3"/>
      <c r="E603" s="3"/>
    </row>
    <row r="604" ht="15.75" customHeight="1">
      <c r="B604" s="3"/>
      <c r="C604" s="3"/>
      <c r="D604" s="3"/>
      <c r="E604" s="3"/>
    </row>
    <row r="605" ht="15.75" customHeight="1">
      <c r="B605" s="3"/>
      <c r="C605" s="3"/>
      <c r="D605" s="3"/>
      <c r="E605" s="3"/>
    </row>
    <row r="606" ht="15.75" customHeight="1">
      <c r="B606" s="3"/>
      <c r="C606" s="3"/>
      <c r="D606" s="3"/>
      <c r="E606" s="3"/>
    </row>
    <row r="607" ht="15.75" customHeight="1">
      <c r="B607" s="3"/>
      <c r="C607" s="3"/>
      <c r="D607" s="3"/>
      <c r="E607" s="3"/>
    </row>
    <row r="608" ht="15.75" customHeight="1">
      <c r="B608" s="3"/>
      <c r="C608" s="3"/>
      <c r="D608" s="3"/>
      <c r="E608" s="3"/>
    </row>
    <row r="609" ht="15.75" customHeight="1">
      <c r="B609" s="3"/>
      <c r="C609" s="3"/>
      <c r="D609" s="3"/>
      <c r="E609" s="3"/>
    </row>
    <row r="610" ht="15.75" customHeight="1">
      <c r="B610" s="3"/>
      <c r="C610" s="3"/>
      <c r="D610" s="3"/>
      <c r="E610" s="3"/>
    </row>
    <row r="611" ht="15.75" customHeight="1">
      <c r="B611" s="3"/>
      <c r="C611" s="3"/>
      <c r="D611" s="3"/>
      <c r="E611" s="3"/>
    </row>
    <row r="612" ht="15.75" customHeight="1">
      <c r="B612" s="3"/>
      <c r="C612" s="3"/>
      <c r="D612" s="3"/>
      <c r="E612" s="3"/>
    </row>
    <row r="613" ht="15.75" customHeight="1">
      <c r="B613" s="3"/>
      <c r="C613" s="3"/>
      <c r="D613" s="3"/>
      <c r="E613" s="3"/>
    </row>
    <row r="614" ht="15.75" customHeight="1">
      <c r="B614" s="3"/>
      <c r="C614" s="3"/>
      <c r="D614" s="3"/>
      <c r="E614" s="3"/>
    </row>
    <row r="615" ht="15.75" customHeight="1">
      <c r="B615" s="3"/>
      <c r="C615" s="3"/>
      <c r="D615" s="3"/>
      <c r="E615" s="3"/>
    </row>
    <row r="616" ht="15.75" customHeight="1">
      <c r="B616" s="3"/>
      <c r="C616" s="3"/>
      <c r="D616" s="3"/>
      <c r="E616" s="3"/>
    </row>
    <row r="617" ht="15.75" customHeight="1">
      <c r="B617" s="3"/>
      <c r="C617" s="3"/>
      <c r="D617" s="3"/>
      <c r="E617" s="3"/>
    </row>
    <row r="618" ht="15.75" customHeight="1">
      <c r="B618" s="3"/>
      <c r="C618" s="3"/>
      <c r="D618" s="3"/>
      <c r="E618" s="3"/>
    </row>
    <row r="619" ht="15.75" customHeight="1">
      <c r="B619" s="3"/>
      <c r="C619" s="3"/>
      <c r="D619" s="3"/>
      <c r="E619" s="3"/>
    </row>
    <row r="620" ht="15.75" customHeight="1">
      <c r="B620" s="3"/>
      <c r="C620" s="3"/>
      <c r="D620" s="3"/>
      <c r="E620" s="3"/>
    </row>
    <row r="621" ht="15.75" customHeight="1">
      <c r="B621" s="3"/>
      <c r="C621" s="3"/>
      <c r="D621" s="3"/>
      <c r="E621" s="3"/>
    </row>
    <row r="622" ht="15.75" customHeight="1">
      <c r="B622" s="3"/>
      <c r="C622" s="3"/>
      <c r="D622" s="3"/>
      <c r="E622" s="3"/>
    </row>
    <row r="623" ht="15.75" customHeight="1">
      <c r="B623" s="3"/>
      <c r="C623" s="3"/>
      <c r="D623" s="3"/>
      <c r="E623" s="3"/>
    </row>
    <row r="624" ht="15.75" customHeight="1">
      <c r="B624" s="3"/>
      <c r="C624" s="3"/>
      <c r="D624" s="3"/>
      <c r="E624" s="3"/>
    </row>
    <row r="625" ht="15.75" customHeight="1">
      <c r="B625" s="3"/>
      <c r="C625" s="3"/>
      <c r="D625" s="3"/>
      <c r="E625" s="3"/>
    </row>
    <row r="626" ht="15.75" customHeight="1">
      <c r="B626" s="3"/>
      <c r="C626" s="3"/>
      <c r="D626" s="3"/>
      <c r="E626" s="3"/>
    </row>
    <row r="627" ht="15.75" customHeight="1">
      <c r="B627" s="3"/>
      <c r="C627" s="3"/>
      <c r="D627" s="3"/>
      <c r="E627" s="3"/>
    </row>
    <row r="628" ht="15.75" customHeight="1">
      <c r="B628" s="3"/>
      <c r="C628" s="3"/>
      <c r="D628" s="3"/>
      <c r="E628" s="3"/>
    </row>
    <row r="629" ht="15.75" customHeight="1">
      <c r="B629" s="3"/>
      <c r="C629" s="3"/>
      <c r="D629" s="3"/>
      <c r="E629" s="3"/>
    </row>
    <row r="630" ht="15.75" customHeight="1">
      <c r="B630" s="3"/>
      <c r="C630" s="3"/>
      <c r="D630" s="3"/>
      <c r="E630" s="3"/>
    </row>
    <row r="631" ht="15.75" customHeight="1">
      <c r="B631" s="3"/>
      <c r="C631" s="3"/>
      <c r="D631" s="3"/>
      <c r="E631" s="3"/>
    </row>
    <row r="632" ht="15.75" customHeight="1">
      <c r="B632" s="3"/>
      <c r="C632" s="3"/>
      <c r="D632" s="3"/>
      <c r="E632" s="3"/>
    </row>
    <row r="633" ht="15.75" customHeight="1">
      <c r="B633" s="3"/>
      <c r="C633" s="3"/>
      <c r="D633" s="3"/>
      <c r="E633" s="3"/>
    </row>
    <row r="634" ht="15.75" customHeight="1">
      <c r="B634" s="3"/>
      <c r="C634" s="3"/>
      <c r="D634" s="3"/>
      <c r="E634" s="3"/>
    </row>
    <row r="635" ht="15.75" customHeight="1">
      <c r="B635" s="3"/>
      <c r="C635" s="3"/>
      <c r="D635" s="3"/>
      <c r="E635" s="3"/>
    </row>
    <row r="636" ht="15.75" customHeight="1">
      <c r="B636" s="3"/>
      <c r="C636" s="3"/>
      <c r="D636" s="3"/>
      <c r="E636" s="3"/>
    </row>
    <row r="637" ht="15.75" customHeight="1">
      <c r="B637" s="3"/>
      <c r="C637" s="3"/>
      <c r="D637" s="3"/>
      <c r="E637" s="3"/>
    </row>
    <row r="638" ht="15.75" customHeight="1">
      <c r="B638" s="3"/>
      <c r="C638" s="3"/>
      <c r="D638" s="3"/>
      <c r="E638" s="3"/>
    </row>
    <row r="639" ht="15.75" customHeight="1">
      <c r="B639" s="3"/>
      <c r="C639" s="3"/>
      <c r="D639" s="3"/>
      <c r="E639" s="3"/>
    </row>
    <row r="640" ht="15.75" customHeight="1">
      <c r="B640" s="3"/>
      <c r="C640" s="3"/>
      <c r="D640" s="3"/>
      <c r="E640" s="3"/>
    </row>
    <row r="641" ht="15.75" customHeight="1">
      <c r="B641" s="3"/>
      <c r="C641" s="3"/>
      <c r="D641" s="3"/>
      <c r="E641" s="3"/>
    </row>
    <row r="642" ht="15.75" customHeight="1">
      <c r="B642" s="3"/>
      <c r="C642" s="3"/>
      <c r="D642" s="3"/>
      <c r="E642" s="3"/>
    </row>
    <row r="643" ht="15.75" customHeight="1">
      <c r="B643" s="3"/>
      <c r="C643" s="3"/>
      <c r="D643" s="3"/>
      <c r="E643" s="3"/>
    </row>
    <row r="644" ht="15.75" customHeight="1">
      <c r="B644" s="3"/>
      <c r="C644" s="3"/>
      <c r="D644" s="3"/>
      <c r="E644" s="3"/>
    </row>
    <row r="645" ht="15.75" customHeight="1">
      <c r="B645" s="3"/>
      <c r="C645" s="3"/>
      <c r="D645" s="3"/>
      <c r="E645" s="3"/>
    </row>
    <row r="646" ht="15.75" customHeight="1">
      <c r="B646" s="3"/>
      <c r="C646" s="3"/>
      <c r="D646" s="3"/>
      <c r="E646" s="3"/>
    </row>
    <row r="647" ht="15.75" customHeight="1">
      <c r="B647" s="3"/>
      <c r="C647" s="3"/>
      <c r="D647" s="3"/>
      <c r="E647" s="3"/>
    </row>
    <row r="648" ht="15.75" customHeight="1">
      <c r="B648" s="3"/>
      <c r="C648" s="3"/>
      <c r="D648" s="3"/>
      <c r="E648" s="3"/>
    </row>
    <row r="649" ht="15.75" customHeight="1">
      <c r="B649" s="3"/>
      <c r="C649" s="3"/>
      <c r="D649" s="3"/>
      <c r="E649" s="3"/>
    </row>
    <row r="650" ht="15.75" customHeight="1">
      <c r="B650" s="3"/>
      <c r="C650" s="3"/>
      <c r="D650" s="3"/>
      <c r="E650" s="3"/>
    </row>
    <row r="651" ht="15.75" customHeight="1">
      <c r="B651" s="3"/>
      <c r="C651" s="3"/>
      <c r="D651" s="3"/>
      <c r="E651" s="3"/>
    </row>
    <row r="652" ht="15.75" customHeight="1">
      <c r="B652" s="3"/>
      <c r="C652" s="3"/>
      <c r="D652" s="3"/>
      <c r="E652" s="3"/>
    </row>
    <row r="653" ht="15.75" customHeight="1">
      <c r="B653" s="3"/>
      <c r="C653" s="3"/>
      <c r="D653" s="3"/>
      <c r="E653" s="3"/>
    </row>
    <row r="654" ht="15.75" customHeight="1">
      <c r="B654" s="3"/>
      <c r="C654" s="3"/>
      <c r="D654" s="3"/>
      <c r="E654" s="3"/>
    </row>
    <row r="655" ht="15.75" customHeight="1">
      <c r="B655" s="3"/>
      <c r="C655" s="3"/>
      <c r="D655" s="3"/>
      <c r="E655" s="3"/>
    </row>
    <row r="656" ht="15.75" customHeight="1">
      <c r="B656" s="3"/>
      <c r="C656" s="3"/>
      <c r="D656" s="3"/>
      <c r="E656" s="3"/>
    </row>
    <row r="657" ht="15.75" customHeight="1">
      <c r="B657" s="3"/>
      <c r="C657" s="3"/>
      <c r="D657" s="3"/>
      <c r="E657" s="3"/>
    </row>
    <row r="658" ht="15.75" customHeight="1">
      <c r="B658" s="3"/>
      <c r="C658" s="3"/>
      <c r="D658" s="3"/>
      <c r="E658" s="3"/>
    </row>
    <row r="659" ht="15.75" customHeight="1">
      <c r="B659" s="3"/>
      <c r="C659" s="3"/>
      <c r="D659" s="3"/>
      <c r="E659" s="3"/>
    </row>
    <row r="660" ht="15.75" customHeight="1">
      <c r="B660" s="3"/>
      <c r="C660" s="3"/>
      <c r="D660" s="3"/>
      <c r="E660" s="3"/>
    </row>
    <row r="661" ht="15.75" customHeight="1">
      <c r="B661" s="3"/>
      <c r="C661" s="3"/>
      <c r="D661" s="3"/>
      <c r="E661" s="3"/>
    </row>
    <row r="662" ht="15.75" customHeight="1">
      <c r="B662" s="3"/>
      <c r="C662" s="3"/>
      <c r="D662" s="3"/>
      <c r="E662" s="3"/>
    </row>
    <row r="663" ht="15.75" customHeight="1">
      <c r="B663" s="3"/>
      <c r="C663" s="3"/>
      <c r="D663" s="3"/>
      <c r="E663" s="3"/>
    </row>
    <row r="664" ht="15.75" customHeight="1">
      <c r="B664" s="3"/>
      <c r="C664" s="3"/>
      <c r="D664" s="3"/>
      <c r="E664" s="3"/>
    </row>
    <row r="665" ht="15.75" customHeight="1">
      <c r="B665" s="3"/>
      <c r="C665" s="3"/>
      <c r="D665" s="3"/>
      <c r="E665" s="3"/>
    </row>
    <row r="666" ht="15.75" customHeight="1">
      <c r="B666" s="3"/>
      <c r="C666" s="3"/>
      <c r="D666" s="3"/>
      <c r="E666" s="3"/>
    </row>
    <row r="667" ht="15.75" customHeight="1">
      <c r="B667" s="3"/>
      <c r="C667" s="3"/>
      <c r="D667" s="3"/>
      <c r="E667" s="3"/>
    </row>
    <row r="668" ht="15.75" customHeight="1">
      <c r="B668" s="3"/>
      <c r="C668" s="3"/>
      <c r="D668" s="3"/>
      <c r="E668" s="3"/>
    </row>
    <row r="669" ht="15.75" customHeight="1">
      <c r="B669" s="3"/>
      <c r="C669" s="3"/>
      <c r="D669" s="3"/>
      <c r="E669" s="3"/>
    </row>
    <row r="670" ht="15.75" customHeight="1">
      <c r="B670" s="3"/>
      <c r="C670" s="3"/>
      <c r="D670" s="3"/>
      <c r="E670" s="3"/>
    </row>
    <row r="671" ht="15.75" customHeight="1">
      <c r="B671" s="3"/>
      <c r="C671" s="3"/>
      <c r="D671" s="3"/>
      <c r="E671" s="3"/>
    </row>
    <row r="672" ht="15.75" customHeight="1">
      <c r="B672" s="3"/>
      <c r="C672" s="3"/>
      <c r="D672" s="3"/>
      <c r="E672" s="3"/>
    </row>
    <row r="673" ht="15.75" customHeight="1">
      <c r="B673" s="3"/>
      <c r="C673" s="3"/>
      <c r="D673" s="3"/>
      <c r="E673" s="3"/>
    </row>
    <row r="674" ht="15.75" customHeight="1">
      <c r="B674" s="3"/>
      <c r="C674" s="3"/>
      <c r="D674" s="3"/>
      <c r="E674" s="3"/>
    </row>
    <row r="675" ht="15.75" customHeight="1">
      <c r="B675" s="3"/>
      <c r="C675" s="3"/>
      <c r="D675" s="3"/>
      <c r="E675" s="3"/>
    </row>
    <row r="676" ht="15.75" customHeight="1">
      <c r="B676" s="3"/>
      <c r="C676" s="3"/>
      <c r="D676" s="3"/>
      <c r="E676" s="3"/>
    </row>
    <row r="677" ht="15.75" customHeight="1">
      <c r="B677" s="3"/>
      <c r="C677" s="3"/>
      <c r="D677" s="3"/>
      <c r="E677" s="3"/>
    </row>
    <row r="678" ht="15.75" customHeight="1">
      <c r="B678" s="3"/>
      <c r="C678" s="3"/>
      <c r="D678" s="3"/>
      <c r="E678" s="3"/>
    </row>
    <row r="679" ht="15.75" customHeight="1">
      <c r="B679" s="3"/>
      <c r="C679" s="3"/>
      <c r="D679" s="3"/>
      <c r="E679" s="3"/>
    </row>
    <row r="680" ht="15.75" customHeight="1">
      <c r="B680" s="3"/>
      <c r="C680" s="3"/>
      <c r="D680" s="3"/>
      <c r="E680" s="3"/>
    </row>
    <row r="681" ht="15.75" customHeight="1">
      <c r="B681" s="3"/>
      <c r="C681" s="3"/>
      <c r="D681" s="3"/>
      <c r="E681" s="3"/>
    </row>
    <row r="682" ht="15.75" customHeight="1">
      <c r="B682" s="3"/>
      <c r="C682" s="3"/>
      <c r="D682" s="3"/>
      <c r="E682" s="3"/>
    </row>
    <row r="683" ht="15.75" customHeight="1">
      <c r="B683" s="3"/>
      <c r="C683" s="3"/>
      <c r="D683" s="3"/>
      <c r="E683" s="3"/>
    </row>
    <row r="684" ht="15.75" customHeight="1">
      <c r="B684" s="3"/>
      <c r="C684" s="3"/>
      <c r="D684" s="3"/>
      <c r="E684" s="3"/>
    </row>
    <row r="685" ht="15.75" customHeight="1">
      <c r="B685" s="3"/>
      <c r="C685" s="3"/>
      <c r="D685" s="3"/>
      <c r="E685" s="3"/>
    </row>
    <row r="686" ht="15.75" customHeight="1">
      <c r="B686" s="3"/>
      <c r="C686" s="3"/>
      <c r="D686" s="3"/>
      <c r="E686" s="3"/>
    </row>
    <row r="687" ht="15.75" customHeight="1">
      <c r="B687" s="3"/>
      <c r="C687" s="3"/>
      <c r="D687" s="3"/>
      <c r="E687" s="3"/>
    </row>
    <row r="688" ht="15.75" customHeight="1">
      <c r="B688" s="3"/>
      <c r="C688" s="3"/>
      <c r="D688" s="3"/>
      <c r="E688" s="3"/>
    </row>
    <row r="689" ht="15.75" customHeight="1">
      <c r="B689" s="3"/>
      <c r="C689" s="3"/>
      <c r="D689" s="3"/>
      <c r="E689" s="3"/>
    </row>
    <row r="690" ht="15.75" customHeight="1">
      <c r="B690" s="3"/>
      <c r="C690" s="3"/>
      <c r="D690" s="3"/>
      <c r="E690" s="3"/>
    </row>
    <row r="691" ht="15.75" customHeight="1">
      <c r="B691" s="3"/>
      <c r="C691" s="3"/>
      <c r="D691" s="3"/>
      <c r="E691" s="3"/>
    </row>
    <row r="692" ht="15.75" customHeight="1">
      <c r="B692" s="3"/>
      <c r="C692" s="3"/>
      <c r="D692" s="3"/>
      <c r="E692" s="3"/>
    </row>
    <row r="693" ht="15.75" customHeight="1">
      <c r="B693" s="3"/>
      <c r="C693" s="3"/>
      <c r="D693" s="3"/>
      <c r="E693" s="3"/>
    </row>
    <row r="694" ht="15.75" customHeight="1">
      <c r="B694" s="3"/>
      <c r="C694" s="3"/>
      <c r="D694" s="3"/>
      <c r="E694" s="3"/>
    </row>
    <row r="695" ht="15.75" customHeight="1">
      <c r="B695" s="3"/>
      <c r="C695" s="3"/>
      <c r="D695" s="3"/>
      <c r="E695" s="3"/>
    </row>
    <row r="696" ht="15.75" customHeight="1">
      <c r="B696" s="3"/>
      <c r="C696" s="3"/>
      <c r="D696" s="3"/>
      <c r="E696" s="3"/>
    </row>
    <row r="697" ht="15.75" customHeight="1">
      <c r="B697" s="3"/>
      <c r="C697" s="3"/>
      <c r="D697" s="3"/>
      <c r="E697" s="3"/>
    </row>
    <row r="698" ht="15.75" customHeight="1">
      <c r="B698" s="3"/>
      <c r="C698" s="3"/>
      <c r="D698" s="3"/>
      <c r="E698" s="3"/>
    </row>
    <row r="699" ht="15.75" customHeight="1">
      <c r="B699" s="3"/>
      <c r="C699" s="3"/>
      <c r="D699" s="3"/>
      <c r="E699" s="3"/>
    </row>
    <row r="700" ht="15.75" customHeight="1">
      <c r="B700" s="3"/>
      <c r="C700" s="3"/>
      <c r="D700" s="3"/>
      <c r="E700" s="3"/>
    </row>
    <row r="701" ht="15.75" customHeight="1">
      <c r="B701" s="3"/>
      <c r="C701" s="3"/>
      <c r="D701" s="3"/>
      <c r="E701" s="3"/>
    </row>
    <row r="702" ht="15.75" customHeight="1">
      <c r="B702" s="3"/>
      <c r="C702" s="3"/>
      <c r="D702" s="3"/>
      <c r="E702" s="3"/>
    </row>
    <row r="703" ht="15.75" customHeight="1">
      <c r="B703" s="3"/>
      <c r="C703" s="3"/>
      <c r="D703" s="3"/>
      <c r="E703" s="3"/>
    </row>
    <row r="704" ht="15.75" customHeight="1">
      <c r="B704" s="3"/>
      <c r="C704" s="3"/>
      <c r="D704" s="3"/>
      <c r="E704" s="3"/>
    </row>
    <row r="705" ht="15.75" customHeight="1">
      <c r="B705" s="3"/>
      <c r="C705" s="3"/>
      <c r="D705" s="3"/>
      <c r="E705" s="3"/>
    </row>
    <row r="706" ht="15.75" customHeight="1">
      <c r="B706" s="3"/>
      <c r="C706" s="3"/>
      <c r="D706" s="3"/>
      <c r="E706" s="3"/>
    </row>
    <row r="707" ht="15.75" customHeight="1">
      <c r="B707" s="3"/>
      <c r="C707" s="3"/>
      <c r="D707" s="3"/>
      <c r="E707" s="3"/>
    </row>
    <row r="708" ht="15.75" customHeight="1">
      <c r="B708" s="3"/>
      <c r="C708" s="3"/>
      <c r="D708" s="3"/>
      <c r="E708" s="3"/>
    </row>
    <row r="709" ht="15.75" customHeight="1">
      <c r="B709" s="3"/>
      <c r="C709" s="3"/>
      <c r="D709" s="3"/>
      <c r="E709" s="3"/>
    </row>
    <row r="710" ht="15.75" customHeight="1">
      <c r="B710" s="3"/>
      <c r="C710" s="3"/>
      <c r="D710" s="3"/>
      <c r="E710" s="3"/>
    </row>
    <row r="711" ht="15.75" customHeight="1">
      <c r="B711" s="3"/>
      <c r="C711" s="3"/>
      <c r="D711" s="3"/>
      <c r="E711" s="3"/>
    </row>
    <row r="712" ht="15.75" customHeight="1">
      <c r="B712" s="3"/>
      <c r="C712" s="3"/>
      <c r="D712" s="3"/>
      <c r="E712" s="3"/>
    </row>
    <row r="713" ht="15.75" customHeight="1">
      <c r="B713" s="3"/>
      <c r="C713" s="3"/>
      <c r="D713" s="3"/>
      <c r="E713" s="3"/>
    </row>
    <row r="714" ht="15.75" customHeight="1">
      <c r="B714" s="3"/>
      <c r="C714" s="3"/>
      <c r="D714" s="3"/>
      <c r="E714" s="3"/>
    </row>
    <row r="715" ht="15.75" customHeight="1">
      <c r="B715" s="3"/>
      <c r="C715" s="3"/>
      <c r="D715" s="3"/>
      <c r="E715" s="3"/>
    </row>
    <row r="716" ht="15.75" customHeight="1">
      <c r="B716" s="3"/>
      <c r="C716" s="3"/>
      <c r="D716" s="3"/>
      <c r="E716" s="3"/>
    </row>
    <row r="717" ht="15.75" customHeight="1">
      <c r="B717" s="3"/>
      <c r="C717" s="3"/>
      <c r="D717" s="3"/>
      <c r="E717" s="3"/>
    </row>
    <row r="718" ht="15.75" customHeight="1">
      <c r="B718" s="3"/>
      <c r="C718" s="3"/>
      <c r="D718" s="3"/>
      <c r="E718" s="3"/>
    </row>
    <row r="719" ht="15.75" customHeight="1">
      <c r="B719" s="3"/>
      <c r="C719" s="3"/>
      <c r="D719" s="3"/>
      <c r="E719" s="3"/>
    </row>
    <row r="720" ht="15.75" customHeight="1">
      <c r="B720" s="3"/>
      <c r="C720" s="3"/>
      <c r="D720" s="3"/>
      <c r="E720" s="3"/>
    </row>
    <row r="721" ht="15.75" customHeight="1">
      <c r="B721" s="3"/>
      <c r="C721" s="3"/>
      <c r="D721" s="3"/>
      <c r="E721" s="3"/>
    </row>
    <row r="722" ht="15.75" customHeight="1">
      <c r="B722" s="3"/>
      <c r="C722" s="3"/>
      <c r="D722" s="3"/>
      <c r="E722" s="3"/>
    </row>
    <row r="723" ht="15.75" customHeight="1">
      <c r="B723" s="3"/>
      <c r="C723" s="3"/>
      <c r="D723" s="3"/>
      <c r="E723" s="3"/>
    </row>
    <row r="724" ht="15.75" customHeight="1">
      <c r="B724" s="3"/>
      <c r="C724" s="3"/>
      <c r="D724" s="3"/>
      <c r="E724" s="3"/>
    </row>
    <row r="725" ht="15.75" customHeight="1">
      <c r="B725" s="3"/>
      <c r="C725" s="3"/>
      <c r="D725" s="3"/>
      <c r="E725" s="3"/>
    </row>
    <row r="726" ht="15.75" customHeight="1">
      <c r="B726" s="3"/>
      <c r="C726" s="3"/>
      <c r="D726" s="3"/>
      <c r="E726" s="3"/>
    </row>
    <row r="727" ht="15.75" customHeight="1">
      <c r="B727" s="3"/>
      <c r="C727" s="3"/>
      <c r="D727" s="3"/>
      <c r="E727" s="3"/>
    </row>
    <row r="728" ht="15.75" customHeight="1">
      <c r="B728" s="3"/>
      <c r="C728" s="3"/>
      <c r="D728" s="3"/>
      <c r="E728" s="3"/>
    </row>
    <row r="729" ht="15.75" customHeight="1">
      <c r="B729" s="3"/>
      <c r="C729" s="3"/>
      <c r="D729" s="3"/>
      <c r="E729" s="3"/>
    </row>
    <row r="730" ht="15.75" customHeight="1">
      <c r="B730" s="3"/>
      <c r="C730" s="3"/>
      <c r="D730" s="3"/>
      <c r="E730" s="3"/>
    </row>
    <row r="731" ht="15.75" customHeight="1">
      <c r="B731" s="3"/>
      <c r="C731" s="3"/>
      <c r="D731" s="3"/>
      <c r="E731" s="3"/>
    </row>
    <row r="732" ht="15.75" customHeight="1">
      <c r="B732" s="3"/>
      <c r="C732" s="3"/>
      <c r="D732" s="3"/>
      <c r="E732" s="3"/>
    </row>
    <row r="733" ht="15.75" customHeight="1">
      <c r="B733" s="3"/>
      <c r="C733" s="3"/>
      <c r="D733" s="3"/>
      <c r="E733" s="3"/>
    </row>
    <row r="734" ht="15.75" customHeight="1">
      <c r="B734" s="3"/>
      <c r="C734" s="3"/>
      <c r="D734" s="3"/>
      <c r="E734" s="3"/>
    </row>
    <row r="735" ht="15.75" customHeight="1">
      <c r="B735" s="3"/>
      <c r="C735" s="3"/>
      <c r="D735" s="3"/>
      <c r="E735" s="3"/>
    </row>
    <row r="736" ht="15.75" customHeight="1">
      <c r="B736" s="3"/>
      <c r="C736" s="3"/>
      <c r="D736" s="3"/>
      <c r="E736" s="3"/>
    </row>
    <row r="737" ht="15.75" customHeight="1">
      <c r="B737" s="3"/>
      <c r="C737" s="3"/>
      <c r="D737" s="3"/>
      <c r="E737" s="3"/>
    </row>
    <row r="738" ht="15.75" customHeight="1">
      <c r="B738" s="3"/>
      <c r="C738" s="3"/>
      <c r="D738" s="3"/>
      <c r="E738" s="3"/>
    </row>
    <row r="739" ht="15.75" customHeight="1">
      <c r="B739" s="3"/>
      <c r="C739" s="3"/>
      <c r="D739" s="3"/>
      <c r="E739" s="3"/>
    </row>
    <row r="740" ht="15.75" customHeight="1">
      <c r="B740" s="3"/>
      <c r="C740" s="3"/>
      <c r="D740" s="3"/>
      <c r="E740" s="3"/>
    </row>
    <row r="741" ht="15.75" customHeight="1">
      <c r="B741" s="3"/>
      <c r="C741" s="3"/>
      <c r="D741" s="3"/>
      <c r="E741" s="3"/>
    </row>
    <row r="742" ht="15.75" customHeight="1">
      <c r="B742" s="3"/>
      <c r="C742" s="3"/>
      <c r="D742" s="3"/>
      <c r="E742" s="3"/>
    </row>
    <row r="743" ht="15.75" customHeight="1">
      <c r="B743" s="3"/>
      <c r="C743" s="3"/>
      <c r="D743" s="3"/>
      <c r="E743" s="3"/>
    </row>
    <row r="744" ht="15.75" customHeight="1">
      <c r="B744" s="3"/>
      <c r="C744" s="3"/>
      <c r="D744" s="3"/>
      <c r="E744" s="3"/>
    </row>
    <row r="745" ht="15.75" customHeight="1">
      <c r="B745" s="3"/>
      <c r="C745" s="3"/>
      <c r="D745" s="3"/>
      <c r="E745" s="3"/>
    </row>
    <row r="746" ht="15.75" customHeight="1">
      <c r="B746" s="3"/>
      <c r="C746" s="3"/>
      <c r="D746" s="3"/>
      <c r="E746" s="3"/>
    </row>
    <row r="747" ht="15.75" customHeight="1">
      <c r="B747" s="3"/>
      <c r="C747" s="3"/>
      <c r="D747" s="3"/>
      <c r="E747" s="3"/>
    </row>
    <row r="748" ht="15.75" customHeight="1">
      <c r="B748" s="3"/>
      <c r="C748" s="3"/>
      <c r="D748" s="3"/>
      <c r="E748" s="3"/>
    </row>
    <row r="749" ht="15.75" customHeight="1">
      <c r="B749" s="3"/>
      <c r="C749" s="3"/>
      <c r="D749" s="3"/>
      <c r="E749" s="3"/>
    </row>
    <row r="750" ht="15.75" customHeight="1">
      <c r="B750" s="3"/>
      <c r="C750" s="3"/>
      <c r="D750" s="3"/>
      <c r="E750" s="3"/>
    </row>
    <row r="751" ht="15.75" customHeight="1">
      <c r="B751" s="3"/>
      <c r="C751" s="3"/>
      <c r="D751" s="3"/>
      <c r="E751" s="3"/>
    </row>
    <row r="752" ht="15.75" customHeight="1">
      <c r="B752" s="3"/>
      <c r="C752" s="3"/>
      <c r="D752" s="3"/>
      <c r="E752" s="3"/>
    </row>
    <row r="753" ht="15.75" customHeight="1">
      <c r="B753" s="3"/>
      <c r="C753" s="3"/>
      <c r="D753" s="3"/>
      <c r="E753" s="3"/>
    </row>
    <row r="754" ht="15.75" customHeight="1">
      <c r="B754" s="3"/>
      <c r="C754" s="3"/>
      <c r="D754" s="3"/>
      <c r="E754" s="3"/>
    </row>
    <row r="755" ht="15.75" customHeight="1">
      <c r="B755" s="3"/>
      <c r="C755" s="3"/>
      <c r="D755" s="3"/>
      <c r="E755" s="3"/>
    </row>
    <row r="756" ht="15.75" customHeight="1">
      <c r="B756" s="3"/>
      <c r="C756" s="3"/>
      <c r="D756" s="3"/>
      <c r="E756" s="3"/>
    </row>
    <row r="757" ht="15.75" customHeight="1">
      <c r="B757" s="3"/>
      <c r="C757" s="3"/>
      <c r="D757" s="3"/>
      <c r="E757" s="3"/>
    </row>
    <row r="758" ht="15.75" customHeight="1">
      <c r="B758" s="3"/>
      <c r="C758" s="3"/>
      <c r="D758" s="3"/>
      <c r="E758" s="3"/>
    </row>
    <row r="759" ht="15.75" customHeight="1">
      <c r="B759" s="3"/>
      <c r="C759" s="3"/>
      <c r="D759" s="3"/>
      <c r="E759" s="3"/>
    </row>
    <row r="760" ht="15.75" customHeight="1">
      <c r="B760" s="3"/>
      <c r="C760" s="3"/>
      <c r="D760" s="3"/>
      <c r="E760" s="3"/>
    </row>
    <row r="761" ht="15.75" customHeight="1">
      <c r="B761" s="3"/>
      <c r="C761" s="3"/>
      <c r="D761" s="3"/>
      <c r="E761" s="3"/>
    </row>
    <row r="762" ht="15.75" customHeight="1">
      <c r="B762" s="3"/>
      <c r="C762" s="3"/>
      <c r="D762" s="3"/>
      <c r="E762" s="3"/>
    </row>
    <row r="763" ht="15.75" customHeight="1">
      <c r="B763" s="3"/>
      <c r="C763" s="3"/>
      <c r="D763" s="3"/>
      <c r="E763" s="3"/>
    </row>
    <row r="764" ht="15.75" customHeight="1">
      <c r="B764" s="3"/>
      <c r="C764" s="3"/>
      <c r="D764" s="3"/>
      <c r="E764" s="3"/>
    </row>
    <row r="765" ht="15.75" customHeight="1">
      <c r="B765" s="3"/>
      <c r="C765" s="3"/>
      <c r="D765" s="3"/>
      <c r="E765" s="3"/>
    </row>
    <row r="766" ht="15.75" customHeight="1">
      <c r="B766" s="3"/>
      <c r="C766" s="3"/>
      <c r="D766" s="3"/>
      <c r="E766" s="3"/>
    </row>
    <row r="767" ht="15.75" customHeight="1">
      <c r="B767" s="3"/>
      <c r="C767" s="3"/>
      <c r="D767" s="3"/>
      <c r="E767" s="3"/>
    </row>
    <row r="768" ht="15.75" customHeight="1">
      <c r="B768" s="3"/>
      <c r="C768" s="3"/>
      <c r="D768" s="3"/>
      <c r="E768" s="3"/>
    </row>
    <row r="769" ht="15.75" customHeight="1">
      <c r="B769" s="3"/>
      <c r="C769" s="3"/>
      <c r="D769" s="3"/>
      <c r="E769" s="3"/>
    </row>
    <row r="770" ht="15.75" customHeight="1">
      <c r="B770" s="3"/>
      <c r="C770" s="3"/>
      <c r="D770" s="3"/>
      <c r="E770" s="3"/>
    </row>
    <row r="771" ht="15.75" customHeight="1">
      <c r="B771" s="3"/>
      <c r="C771" s="3"/>
      <c r="D771" s="3"/>
      <c r="E771" s="3"/>
    </row>
    <row r="772" ht="15.75" customHeight="1">
      <c r="B772" s="3"/>
      <c r="C772" s="3"/>
      <c r="D772" s="3"/>
      <c r="E772" s="3"/>
    </row>
    <row r="773" ht="15.75" customHeight="1">
      <c r="B773" s="3"/>
      <c r="C773" s="3"/>
      <c r="D773" s="3"/>
      <c r="E773" s="3"/>
    </row>
    <row r="774" ht="15.75" customHeight="1">
      <c r="B774" s="3"/>
      <c r="C774" s="3"/>
      <c r="D774" s="3"/>
      <c r="E774" s="3"/>
    </row>
    <row r="775" ht="15.75" customHeight="1">
      <c r="B775" s="3"/>
      <c r="C775" s="3"/>
      <c r="D775" s="3"/>
      <c r="E775" s="3"/>
    </row>
    <row r="776" ht="15.75" customHeight="1">
      <c r="B776" s="3"/>
      <c r="C776" s="3"/>
      <c r="D776" s="3"/>
      <c r="E776" s="3"/>
    </row>
    <row r="777" ht="15.75" customHeight="1">
      <c r="B777" s="3"/>
      <c r="C777" s="3"/>
      <c r="D777" s="3"/>
      <c r="E777" s="3"/>
    </row>
    <row r="778" ht="15.75" customHeight="1">
      <c r="B778" s="3"/>
      <c r="C778" s="3"/>
      <c r="D778" s="3"/>
      <c r="E778" s="3"/>
    </row>
    <row r="779" ht="15.75" customHeight="1">
      <c r="B779" s="3"/>
      <c r="C779" s="3"/>
      <c r="D779" s="3"/>
      <c r="E779" s="3"/>
    </row>
    <row r="780" ht="15.75" customHeight="1">
      <c r="B780" s="3"/>
      <c r="C780" s="3"/>
      <c r="D780" s="3"/>
      <c r="E780" s="3"/>
    </row>
    <row r="781" ht="15.75" customHeight="1">
      <c r="B781" s="3"/>
      <c r="C781" s="3"/>
      <c r="D781" s="3"/>
      <c r="E781" s="3"/>
    </row>
    <row r="782" ht="15.75" customHeight="1">
      <c r="B782" s="3"/>
      <c r="C782" s="3"/>
      <c r="D782" s="3"/>
      <c r="E782" s="3"/>
    </row>
    <row r="783" ht="15.75" customHeight="1">
      <c r="B783" s="3"/>
      <c r="C783" s="3"/>
      <c r="D783" s="3"/>
      <c r="E783" s="3"/>
    </row>
    <row r="784" ht="15.75" customHeight="1">
      <c r="B784" s="3"/>
      <c r="C784" s="3"/>
      <c r="D784" s="3"/>
      <c r="E784" s="3"/>
    </row>
    <row r="785" ht="15.75" customHeight="1">
      <c r="B785" s="3"/>
      <c r="C785" s="3"/>
      <c r="D785" s="3"/>
      <c r="E785" s="3"/>
    </row>
    <row r="786" ht="15.75" customHeight="1">
      <c r="B786" s="3"/>
      <c r="C786" s="3"/>
      <c r="D786" s="3"/>
      <c r="E786" s="3"/>
    </row>
    <row r="787" ht="15.75" customHeight="1">
      <c r="B787" s="3"/>
      <c r="C787" s="3"/>
      <c r="D787" s="3"/>
      <c r="E787" s="3"/>
    </row>
    <row r="788" ht="15.75" customHeight="1">
      <c r="B788" s="3"/>
      <c r="C788" s="3"/>
      <c r="D788" s="3"/>
      <c r="E788" s="3"/>
    </row>
    <row r="789" ht="15.75" customHeight="1">
      <c r="B789" s="3"/>
      <c r="C789" s="3"/>
      <c r="D789" s="3"/>
      <c r="E789" s="3"/>
    </row>
    <row r="790" ht="15.75" customHeight="1">
      <c r="B790" s="3"/>
      <c r="C790" s="3"/>
      <c r="D790" s="3"/>
      <c r="E790" s="3"/>
    </row>
    <row r="791" ht="15.75" customHeight="1">
      <c r="B791" s="3"/>
      <c r="C791" s="3"/>
      <c r="D791" s="3"/>
      <c r="E791" s="3"/>
    </row>
    <row r="792" ht="15.75" customHeight="1">
      <c r="B792" s="3"/>
      <c r="C792" s="3"/>
      <c r="D792" s="3"/>
      <c r="E792" s="3"/>
    </row>
    <row r="793" ht="15.75" customHeight="1">
      <c r="B793" s="3"/>
      <c r="C793" s="3"/>
      <c r="D793" s="3"/>
      <c r="E793" s="3"/>
    </row>
    <row r="794" ht="15.75" customHeight="1">
      <c r="B794" s="3"/>
      <c r="C794" s="3"/>
      <c r="D794" s="3"/>
      <c r="E794" s="3"/>
    </row>
    <row r="795" ht="15.75" customHeight="1">
      <c r="B795" s="3"/>
      <c r="C795" s="3"/>
      <c r="D795" s="3"/>
      <c r="E795" s="3"/>
    </row>
    <row r="796" ht="15.75" customHeight="1">
      <c r="B796" s="3"/>
      <c r="C796" s="3"/>
      <c r="D796" s="3"/>
      <c r="E796" s="3"/>
    </row>
    <row r="797" ht="15.75" customHeight="1">
      <c r="B797" s="3"/>
      <c r="C797" s="3"/>
      <c r="D797" s="3"/>
      <c r="E797" s="3"/>
    </row>
    <row r="798" ht="15.75" customHeight="1">
      <c r="B798" s="3"/>
      <c r="C798" s="3"/>
      <c r="D798" s="3"/>
      <c r="E798" s="3"/>
    </row>
    <row r="799" ht="15.75" customHeight="1">
      <c r="B799" s="3"/>
      <c r="C799" s="3"/>
      <c r="D799" s="3"/>
      <c r="E799" s="3"/>
    </row>
    <row r="800" ht="15.75" customHeight="1">
      <c r="B800" s="3"/>
      <c r="C800" s="3"/>
      <c r="D800" s="3"/>
      <c r="E800" s="3"/>
    </row>
    <row r="801" ht="15.75" customHeight="1">
      <c r="B801" s="3"/>
      <c r="C801" s="3"/>
      <c r="D801" s="3"/>
      <c r="E801" s="3"/>
    </row>
    <row r="802" ht="15.75" customHeight="1">
      <c r="B802" s="3"/>
      <c r="C802" s="3"/>
      <c r="D802" s="3"/>
      <c r="E802" s="3"/>
    </row>
    <row r="803" ht="15.75" customHeight="1">
      <c r="B803" s="3"/>
      <c r="C803" s="3"/>
      <c r="D803" s="3"/>
      <c r="E803" s="3"/>
    </row>
    <row r="804" ht="15.75" customHeight="1">
      <c r="B804" s="3"/>
      <c r="C804" s="3"/>
      <c r="D804" s="3"/>
      <c r="E804" s="3"/>
    </row>
    <row r="805" ht="15.75" customHeight="1">
      <c r="B805" s="3"/>
      <c r="C805" s="3"/>
      <c r="D805" s="3"/>
      <c r="E805" s="3"/>
    </row>
    <row r="806" ht="15.75" customHeight="1">
      <c r="B806" s="3"/>
      <c r="C806" s="3"/>
      <c r="D806" s="3"/>
      <c r="E806" s="3"/>
    </row>
    <row r="807" ht="15.75" customHeight="1">
      <c r="B807" s="3"/>
      <c r="C807" s="3"/>
      <c r="D807" s="3"/>
      <c r="E807" s="3"/>
    </row>
    <row r="808" ht="15.75" customHeight="1">
      <c r="B808" s="3"/>
      <c r="C808" s="3"/>
      <c r="D808" s="3"/>
      <c r="E808" s="3"/>
    </row>
    <row r="809" ht="15.75" customHeight="1">
      <c r="B809" s="3"/>
      <c r="C809" s="3"/>
      <c r="D809" s="3"/>
      <c r="E809" s="3"/>
    </row>
    <row r="810" ht="15.75" customHeight="1">
      <c r="B810" s="3"/>
      <c r="C810" s="3"/>
      <c r="D810" s="3"/>
      <c r="E810" s="3"/>
    </row>
    <row r="811" ht="15.75" customHeight="1">
      <c r="B811" s="3"/>
      <c r="C811" s="3"/>
      <c r="D811" s="3"/>
      <c r="E811" s="3"/>
    </row>
    <row r="812" ht="15.75" customHeight="1">
      <c r="B812" s="3"/>
      <c r="C812" s="3"/>
      <c r="D812" s="3"/>
      <c r="E812" s="3"/>
    </row>
    <row r="813" ht="15.75" customHeight="1">
      <c r="B813" s="3"/>
      <c r="C813" s="3"/>
      <c r="D813" s="3"/>
      <c r="E813" s="3"/>
    </row>
    <row r="814" ht="15.75" customHeight="1">
      <c r="B814" s="3"/>
      <c r="C814" s="3"/>
      <c r="D814" s="3"/>
      <c r="E814" s="3"/>
    </row>
    <row r="815" ht="15.75" customHeight="1">
      <c r="B815" s="3"/>
      <c r="C815" s="3"/>
      <c r="D815" s="3"/>
      <c r="E815" s="3"/>
    </row>
    <row r="816" ht="15.75" customHeight="1">
      <c r="B816" s="3"/>
      <c r="C816" s="3"/>
      <c r="D816" s="3"/>
      <c r="E816" s="3"/>
    </row>
    <row r="817" ht="15.75" customHeight="1">
      <c r="B817" s="3"/>
      <c r="C817" s="3"/>
      <c r="D817" s="3"/>
      <c r="E817" s="3"/>
    </row>
    <row r="818" ht="15.75" customHeight="1">
      <c r="B818" s="3"/>
      <c r="C818" s="3"/>
      <c r="D818" s="3"/>
      <c r="E818" s="3"/>
    </row>
    <row r="819" ht="15.75" customHeight="1">
      <c r="B819" s="3"/>
      <c r="C819" s="3"/>
      <c r="D819" s="3"/>
      <c r="E819" s="3"/>
    </row>
    <row r="820" ht="15.75" customHeight="1">
      <c r="B820" s="3"/>
      <c r="C820" s="3"/>
      <c r="D820" s="3"/>
      <c r="E820" s="3"/>
    </row>
    <row r="821" ht="15.75" customHeight="1">
      <c r="B821" s="3"/>
      <c r="C821" s="3"/>
      <c r="D821" s="3"/>
      <c r="E821" s="3"/>
    </row>
    <row r="822" ht="15.75" customHeight="1">
      <c r="B822" s="3"/>
      <c r="C822" s="3"/>
      <c r="D822" s="3"/>
      <c r="E822" s="3"/>
    </row>
    <row r="823" ht="15.75" customHeight="1">
      <c r="B823" s="3"/>
      <c r="C823" s="3"/>
      <c r="D823" s="3"/>
      <c r="E823" s="3"/>
    </row>
    <row r="824" ht="15.75" customHeight="1">
      <c r="B824" s="3"/>
      <c r="C824" s="3"/>
      <c r="D824" s="3"/>
      <c r="E824" s="3"/>
    </row>
    <row r="825" ht="15.75" customHeight="1">
      <c r="B825" s="3"/>
      <c r="C825" s="3"/>
      <c r="D825" s="3"/>
      <c r="E825" s="3"/>
    </row>
    <row r="826" ht="15.75" customHeight="1">
      <c r="B826" s="3"/>
      <c r="C826" s="3"/>
      <c r="D826" s="3"/>
      <c r="E826" s="3"/>
    </row>
    <row r="827" ht="15.75" customHeight="1">
      <c r="B827" s="3"/>
      <c r="C827" s="3"/>
      <c r="D827" s="3"/>
      <c r="E827" s="3"/>
    </row>
    <row r="828" ht="15.75" customHeight="1">
      <c r="B828" s="3"/>
      <c r="C828" s="3"/>
      <c r="D828" s="3"/>
      <c r="E828" s="3"/>
    </row>
    <row r="829" ht="15.75" customHeight="1">
      <c r="B829" s="3"/>
      <c r="C829" s="3"/>
      <c r="D829" s="3"/>
      <c r="E829" s="3"/>
    </row>
    <row r="830" ht="15.75" customHeight="1">
      <c r="B830" s="3"/>
      <c r="C830" s="3"/>
      <c r="D830" s="3"/>
      <c r="E830" s="3"/>
    </row>
    <row r="831" ht="15.75" customHeight="1">
      <c r="B831" s="3"/>
      <c r="C831" s="3"/>
      <c r="D831" s="3"/>
      <c r="E831" s="3"/>
    </row>
    <row r="832" ht="15.75" customHeight="1">
      <c r="B832" s="3"/>
      <c r="C832" s="3"/>
      <c r="D832" s="3"/>
      <c r="E832" s="3"/>
    </row>
    <row r="833" ht="15.75" customHeight="1">
      <c r="B833" s="3"/>
      <c r="C833" s="3"/>
      <c r="D833" s="3"/>
      <c r="E833" s="3"/>
    </row>
    <row r="834" ht="15.75" customHeight="1">
      <c r="B834" s="3"/>
      <c r="C834" s="3"/>
      <c r="D834" s="3"/>
      <c r="E834" s="3"/>
    </row>
    <row r="835" ht="15.75" customHeight="1">
      <c r="B835" s="3"/>
      <c r="C835" s="3"/>
      <c r="D835" s="3"/>
      <c r="E835" s="3"/>
    </row>
    <row r="836" ht="15.75" customHeight="1">
      <c r="B836" s="3"/>
      <c r="C836" s="3"/>
      <c r="D836" s="3"/>
      <c r="E836" s="3"/>
    </row>
    <row r="837" ht="15.75" customHeight="1">
      <c r="B837" s="3"/>
      <c r="C837" s="3"/>
      <c r="D837" s="3"/>
      <c r="E837" s="3"/>
    </row>
    <row r="838" ht="15.75" customHeight="1">
      <c r="B838" s="3"/>
      <c r="C838" s="3"/>
      <c r="D838" s="3"/>
      <c r="E838" s="3"/>
    </row>
    <row r="839" ht="15.75" customHeight="1">
      <c r="B839" s="3"/>
      <c r="C839" s="3"/>
      <c r="D839" s="3"/>
      <c r="E839" s="3"/>
    </row>
    <row r="840" ht="15.75" customHeight="1">
      <c r="B840" s="3"/>
      <c r="C840" s="3"/>
      <c r="D840" s="3"/>
      <c r="E840" s="3"/>
    </row>
    <row r="841" ht="15.75" customHeight="1">
      <c r="B841" s="3"/>
      <c r="C841" s="3"/>
      <c r="D841" s="3"/>
      <c r="E841" s="3"/>
    </row>
    <row r="842" ht="15.75" customHeight="1">
      <c r="B842" s="3"/>
      <c r="C842" s="3"/>
      <c r="D842" s="3"/>
      <c r="E842" s="3"/>
    </row>
    <row r="843" ht="15.75" customHeight="1">
      <c r="B843" s="3"/>
      <c r="C843" s="3"/>
      <c r="D843" s="3"/>
      <c r="E843" s="3"/>
    </row>
    <row r="844" ht="15.75" customHeight="1">
      <c r="B844" s="3"/>
      <c r="C844" s="3"/>
      <c r="D844" s="3"/>
      <c r="E844" s="3"/>
    </row>
    <row r="845" ht="15.75" customHeight="1">
      <c r="B845" s="3"/>
      <c r="C845" s="3"/>
      <c r="D845" s="3"/>
      <c r="E845" s="3"/>
    </row>
    <row r="846" ht="15.75" customHeight="1">
      <c r="B846" s="3"/>
      <c r="C846" s="3"/>
      <c r="D846" s="3"/>
      <c r="E846" s="3"/>
    </row>
    <row r="847" ht="15.75" customHeight="1">
      <c r="B847" s="3"/>
      <c r="C847" s="3"/>
      <c r="D847" s="3"/>
      <c r="E847" s="3"/>
    </row>
    <row r="848" ht="15.75" customHeight="1">
      <c r="B848" s="3"/>
      <c r="C848" s="3"/>
      <c r="D848" s="3"/>
      <c r="E848" s="3"/>
    </row>
    <row r="849" ht="15.75" customHeight="1">
      <c r="B849" s="3"/>
      <c r="C849" s="3"/>
      <c r="D849" s="3"/>
      <c r="E849" s="3"/>
    </row>
    <row r="850" ht="15.75" customHeight="1">
      <c r="B850" s="3"/>
      <c r="C850" s="3"/>
      <c r="D850" s="3"/>
      <c r="E850" s="3"/>
    </row>
    <row r="851" ht="15.75" customHeight="1">
      <c r="B851" s="3"/>
      <c r="C851" s="3"/>
      <c r="D851" s="3"/>
      <c r="E851" s="3"/>
    </row>
    <row r="852" ht="15.75" customHeight="1">
      <c r="B852" s="3"/>
      <c r="C852" s="3"/>
      <c r="D852" s="3"/>
      <c r="E852" s="3"/>
    </row>
    <row r="853" ht="15.75" customHeight="1">
      <c r="B853" s="3"/>
      <c r="C853" s="3"/>
      <c r="D853" s="3"/>
      <c r="E853" s="3"/>
    </row>
    <row r="854" ht="15.75" customHeight="1">
      <c r="B854" s="3"/>
      <c r="C854" s="3"/>
      <c r="D854" s="3"/>
      <c r="E854" s="3"/>
    </row>
    <row r="855" ht="15.75" customHeight="1">
      <c r="B855" s="3"/>
      <c r="C855" s="3"/>
      <c r="D855" s="3"/>
      <c r="E855" s="3"/>
    </row>
    <row r="856" ht="15.75" customHeight="1">
      <c r="B856" s="3"/>
      <c r="C856" s="3"/>
      <c r="D856" s="3"/>
      <c r="E856" s="3"/>
    </row>
    <row r="857" ht="15.75" customHeight="1">
      <c r="B857" s="3"/>
      <c r="C857" s="3"/>
      <c r="D857" s="3"/>
      <c r="E857" s="3"/>
    </row>
    <row r="858" ht="15.75" customHeight="1">
      <c r="B858" s="3"/>
      <c r="C858" s="3"/>
      <c r="D858" s="3"/>
      <c r="E858" s="3"/>
    </row>
    <row r="859" ht="15.75" customHeight="1">
      <c r="B859" s="3"/>
      <c r="C859" s="3"/>
      <c r="D859" s="3"/>
      <c r="E859" s="3"/>
    </row>
    <row r="860" ht="15.75" customHeight="1">
      <c r="B860" s="3"/>
      <c r="C860" s="3"/>
      <c r="D860" s="3"/>
      <c r="E860" s="3"/>
    </row>
    <row r="861" ht="15.75" customHeight="1">
      <c r="B861" s="3"/>
      <c r="C861" s="3"/>
      <c r="D861" s="3"/>
      <c r="E861" s="3"/>
    </row>
    <row r="862" ht="15.75" customHeight="1">
      <c r="B862" s="3"/>
      <c r="C862" s="3"/>
      <c r="D862" s="3"/>
      <c r="E862" s="3"/>
    </row>
    <row r="863" ht="15.75" customHeight="1">
      <c r="B863" s="3"/>
      <c r="C863" s="3"/>
      <c r="D863" s="3"/>
      <c r="E863" s="3"/>
    </row>
    <row r="864" ht="15.75" customHeight="1">
      <c r="B864" s="3"/>
      <c r="C864" s="3"/>
      <c r="D864" s="3"/>
      <c r="E864" s="3"/>
    </row>
    <row r="865" ht="15.75" customHeight="1">
      <c r="B865" s="3"/>
      <c r="C865" s="3"/>
      <c r="D865" s="3"/>
      <c r="E865" s="3"/>
    </row>
    <row r="866" ht="15.75" customHeight="1">
      <c r="B866" s="3"/>
      <c r="C866" s="3"/>
      <c r="D866" s="3"/>
      <c r="E866" s="3"/>
    </row>
    <row r="867" ht="15.75" customHeight="1">
      <c r="B867" s="3"/>
      <c r="C867" s="3"/>
      <c r="D867" s="3"/>
      <c r="E867" s="3"/>
    </row>
    <row r="868" ht="15.75" customHeight="1">
      <c r="B868" s="3"/>
      <c r="C868" s="3"/>
      <c r="D868" s="3"/>
      <c r="E868" s="3"/>
    </row>
    <row r="869" ht="15.75" customHeight="1">
      <c r="B869" s="3"/>
      <c r="C869" s="3"/>
      <c r="D869" s="3"/>
      <c r="E869" s="3"/>
    </row>
    <row r="870" ht="15.75" customHeight="1">
      <c r="B870" s="3"/>
      <c r="C870" s="3"/>
      <c r="D870" s="3"/>
      <c r="E870" s="3"/>
    </row>
    <row r="871" ht="15.75" customHeight="1">
      <c r="B871" s="3"/>
      <c r="C871" s="3"/>
      <c r="D871" s="3"/>
      <c r="E871" s="3"/>
    </row>
    <row r="872" ht="15.75" customHeight="1">
      <c r="B872" s="3"/>
      <c r="C872" s="3"/>
      <c r="D872" s="3"/>
      <c r="E872" s="3"/>
    </row>
    <row r="873" ht="15.75" customHeight="1">
      <c r="B873" s="3"/>
      <c r="C873" s="3"/>
      <c r="D873" s="3"/>
      <c r="E873" s="3"/>
    </row>
    <row r="874" ht="15.75" customHeight="1">
      <c r="B874" s="3"/>
      <c r="C874" s="3"/>
      <c r="D874" s="3"/>
      <c r="E874" s="3"/>
    </row>
    <row r="875" ht="15.75" customHeight="1">
      <c r="B875" s="3"/>
      <c r="C875" s="3"/>
      <c r="D875" s="3"/>
      <c r="E875" s="3"/>
    </row>
    <row r="876" ht="15.75" customHeight="1">
      <c r="B876" s="3"/>
      <c r="C876" s="3"/>
      <c r="D876" s="3"/>
      <c r="E876" s="3"/>
    </row>
    <row r="877" ht="15.75" customHeight="1">
      <c r="B877" s="3"/>
      <c r="C877" s="3"/>
      <c r="D877" s="3"/>
      <c r="E877" s="3"/>
    </row>
    <row r="878" ht="15.75" customHeight="1">
      <c r="B878" s="3"/>
      <c r="C878" s="3"/>
      <c r="D878" s="3"/>
      <c r="E878" s="3"/>
    </row>
    <row r="879" ht="15.75" customHeight="1">
      <c r="B879" s="3"/>
      <c r="C879" s="3"/>
      <c r="D879" s="3"/>
      <c r="E879" s="3"/>
    </row>
    <row r="880" ht="15.75" customHeight="1">
      <c r="B880" s="3"/>
      <c r="C880" s="3"/>
      <c r="D880" s="3"/>
      <c r="E880" s="3"/>
    </row>
    <row r="881" ht="15.75" customHeight="1">
      <c r="B881" s="3"/>
      <c r="C881" s="3"/>
      <c r="D881" s="3"/>
      <c r="E881" s="3"/>
    </row>
    <row r="882" ht="15.75" customHeight="1">
      <c r="B882" s="3"/>
      <c r="C882" s="3"/>
      <c r="D882" s="3"/>
      <c r="E882" s="3"/>
    </row>
    <row r="883" ht="15.75" customHeight="1">
      <c r="B883" s="3"/>
      <c r="C883" s="3"/>
      <c r="D883" s="3"/>
      <c r="E883" s="3"/>
    </row>
    <row r="884" ht="15.75" customHeight="1">
      <c r="B884" s="3"/>
      <c r="C884" s="3"/>
      <c r="D884" s="3"/>
      <c r="E884" s="3"/>
    </row>
    <row r="885" ht="15.75" customHeight="1">
      <c r="B885" s="3"/>
      <c r="C885" s="3"/>
      <c r="D885" s="3"/>
      <c r="E885" s="3"/>
    </row>
    <row r="886" ht="15.75" customHeight="1">
      <c r="B886" s="3"/>
      <c r="C886" s="3"/>
      <c r="D886" s="3"/>
      <c r="E886" s="3"/>
    </row>
    <row r="887" ht="15.75" customHeight="1">
      <c r="B887" s="3"/>
      <c r="C887" s="3"/>
      <c r="D887" s="3"/>
      <c r="E887" s="3"/>
    </row>
    <row r="888" ht="15.75" customHeight="1">
      <c r="B888" s="3"/>
      <c r="C888" s="3"/>
      <c r="D888" s="3"/>
      <c r="E888" s="3"/>
    </row>
    <row r="889" ht="15.75" customHeight="1">
      <c r="B889" s="3"/>
      <c r="C889" s="3"/>
      <c r="D889" s="3"/>
      <c r="E889" s="3"/>
    </row>
    <row r="890" ht="15.75" customHeight="1">
      <c r="B890" s="3"/>
      <c r="C890" s="3"/>
      <c r="D890" s="3"/>
      <c r="E890" s="3"/>
    </row>
    <row r="891" ht="15.75" customHeight="1">
      <c r="B891" s="3"/>
      <c r="C891" s="3"/>
      <c r="D891" s="3"/>
      <c r="E891" s="3"/>
    </row>
    <row r="892" ht="15.75" customHeight="1">
      <c r="B892" s="3"/>
      <c r="C892" s="3"/>
      <c r="D892" s="3"/>
      <c r="E892" s="3"/>
    </row>
    <row r="893" ht="15.75" customHeight="1">
      <c r="B893" s="3"/>
      <c r="C893" s="3"/>
      <c r="D893" s="3"/>
      <c r="E893" s="3"/>
    </row>
    <row r="894" ht="15.75" customHeight="1">
      <c r="B894" s="3"/>
      <c r="C894" s="3"/>
      <c r="D894" s="3"/>
      <c r="E894" s="3"/>
    </row>
    <row r="895" ht="15.75" customHeight="1">
      <c r="B895" s="3"/>
      <c r="C895" s="3"/>
      <c r="D895" s="3"/>
      <c r="E895" s="3"/>
    </row>
    <row r="896" ht="15.75" customHeight="1">
      <c r="B896" s="3"/>
      <c r="C896" s="3"/>
      <c r="D896" s="3"/>
      <c r="E896" s="3"/>
    </row>
    <row r="897" ht="15.75" customHeight="1">
      <c r="B897" s="3"/>
      <c r="C897" s="3"/>
      <c r="D897" s="3"/>
      <c r="E897" s="3"/>
    </row>
    <row r="898" ht="15.75" customHeight="1">
      <c r="B898" s="3"/>
      <c r="C898" s="3"/>
      <c r="D898" s="3"/>
      <c r="E898" s="3"/>
    </row>
    <row r="899" ht="15.75" customHeight="1">
      <c r="B899" s="3"/>
      <c r="C899" s="3"/>
      <c r="D899" s="3"/>
      <c r="E899" s="3"/>
    </row>
    <row r="900" ht="15.75" customHeight="1">
      <c r="B900" s="3"/>
      <c r="C900" s="3"/>
      <c r="D900" s="3"/>
      <c r="E900" s="3"/>
    </row>
    <row r="901" ht="15.75" customHeight="1">
      <c r="B901" s="3"/>
      <c r="C901" s="3"/>
      <c r="D901" s="3"/>
      <c r="E901" s="3"/>
    </row>
    <row r="902" ht="15.75" customHeight="1">
      <c r="B902" s="3"/>
      <c r="C902" s="3"/>
      <c r="D902" s="3"/>
      <c r="E902" s="3"/>
    </row>
    <row r="903" ht="15.75" customHeight="1">
      <c r="B903" s="3"/>
      <c r="C903" s="3"/>
      <c r="D903" s="3"/>
      <c r="E903" s="3"/>
    </row>
    <row r="904" ht="15.75" customHeight="1">
      <c r="B904" s="3"/>
      <c r="C904" s="3"/>
      <c r="D904" s="3"/>
      <c r="E904" s="3"/>
    </row>
    <row r="905" ht="15.75" customHeight="1">
      <c r="B905" s="3"/>
      <c r="C905" s="3"/>
      <c r="D905" s="3"/>
      <c r="E905" s="3"/>
    </row>
    <row r="906" ht="15.75" customHeight="1">
      <c r="B906" s="3"/>
      <c r="C906" s="3"/>
      <c r="D906" s="3"/>
      <c r="E906" s="3"/>
    </row>
    <row r="907" ht="15.75" customHeight="1">
      <c r="B907" s="3"/>
      <c r="C907" s="3"/>
      <c r="D907" s="3"/>
      <c r="E907" s="3"/>
    </row>
    <row r="908" ht="15.75" customHeight="1">
      <c r="B908" s="3"/>
      <c r="C908" s="3"/>
      <c r="D908" s="3"/>
      <c r="E908" s="3"/>
    </row>
    <row r="909" ht="15.75" customHeight="1">
      <c r="B909" s="3"/>
      <c r="C909" s="3"/>
      <c r="D909" s="3"/>
      <c r="E909" s="3"/>
    </row>
    <row r="910" ht="15.75" customHeight="1">
      <c r="B910" s="3"/>
      <c r="C910" s="3"/>
      <c r="D910" s="3"/>
      <c r="E910" s="3"/>
    </row>
    <row r="911" ht="15.75" customHeight="1">
      <c r="B911" s="3"/>
      <c r="C911" s="3"/>
      <c r="D911" s="3"/>
      <c r="E911" s="3"/>
    </row>
    <row r="912" ht="15.75" customHeight="1">
      <c r="B912" s="3"/>
      <c r="C912" s="3"/>
      <c r="D912" s="3"/>
      <c r="E912" s="3"/>
    </row>
    <row r="913" ht="15.75" customHeight="1">
      <c r="B913" s="3"/>
      <c r="C913" s="3"/>
      <c r="D913" s="3"/>
      <c r="E913" s="3"/>
    </row>
    <row r="914" ht="15.75" customHeight="1">
      <c r="B914" s="3"/>
      <c r="C914" s="3"/>
      <c r="D914" s="3"/>
      <c r="E914" s="3"/>
    </row>
    <row r="915" ht="15.75" customHeight="1">
      <c r="B915" s="3"/>
      <c r="C915" s="3"/>
      <c r="D915" s="3"/>
      <c r="E915" s="3"/>
    </row>
    <row r="916" ht="15.75" customHeight="1">
      <c r="B916" s="3"/>
      <c r="C916" s="3"/>
      <c r="D916" s="3"/>
      <c r="E916" s="3"/>
    </row>
    <row r="917" ht="15.75" customHeight="1">
      <c r="B917" s="3"/>
      <c r="C917" s="3"/>
      <c r="D917" s="3"/>
      <c r="E917" s="3"/>
    </row>
    <row r="918" ht="15.75" customHeight="1">
      <c r="B918" s="3"/>
      <c r="C918" s="3"/>
      <c r="D918" s="3"/>
      <c r="E918" s="3"/>
    </row>
    <row r="919" ht="15.75" customHeight="1">
      <c r="B919" s="3"/>
      <c r="C919" s="3"/>
      <c r="D919" s="3"/>
      <c r="E919" s="3"/>
    </row>
    <row r="920" ht="15.75" customHeight="1">
      <c r="B920" s="3"/>
      <c r="C920" s="3"/>
      <c r="D920" s="3"/>
      <c r="E920" s="3"/>
    </row>
    <row r="921" ht="15.75" customHeight="1">
      <c r="B921" s="3"/>
      <c r="C921" s="3"/>
      <c r="D921" s="3"/>
      <c r="E921" s="3"/>
    </row>
    <row r="922" ht="15.75" customHeight="1">
      <c r="B922" s="3"/>
      <c r="C922" s="3"/>
      <c r="D922" s="3"/>
      <c r="E922" s="3"/>
    </row>
    <row r="923" ht="15.75" customHeight="1">
      <c r="B923" s="3"/>
      <c r="C923" s="3"/>
      <c r="D923" s="3"/>
      <c r="E923" s="3"/>
    </row>
    <row r="924" ht="15.75" customHeight="1">
      <c r="B924" s="3"/>
      <c r="C924" s="3"/>
      <c r="D924" s="3"/>
      <c r="E924" s="3"/>
    </row>
    <row r="925" ht="15.75" customHeight="1">
      <c r="B925" s="3"/>
      <c r="C925" s="3"/>
      <c r="D925" s="3"/>
      <c r="E925" s="3"/>
    </row>
    <row r="926" ht="15.75" customHeight="1">
      <c r="B926" s="3"/>
      <c r="C926" s="3"/>
      <c r="D926" s="3"/>
      <c r="E926" s="3"/>
    </row>
    <row r="927" ht="15.75" customHeight="1">
      <c r="B927" s="3"/>
      <c r="C927" s="3"/>
      <c r="D927" s="3"/>
      <c r="E927" s="3"/>
    </row>
    <row r="928" ht="15.75" customHeight="1">
      <c r="B928" s="3"/>
      <c r="C928" s="3"/>
      <c r="D928" s="3"/>
      <c r="E928" s="3"/>
    </row>
    <row r="929" ht="15.75" customHeight="1">
      <c r="B929" s="3"/>
      <c r="C929" s="3"/>
      <c r="D929" s="3"/>
      <c r="E929" s="3"/>
    </row>
    <row r="930" ht="15.75" customHeight="1">
      <c r="B930" s="3"/>
      <c r="C930" s="3"/>
      <c r="D930" s="3"/>
      <c r="E930" s="3"/>
    </row>
    <row r="931" ht="15.75" customHeight="1">
      <c r="B931" s="3"/>
      <c r="C931" s="3"/>
      <c r="D931" s="3"/>
      <c r="E931" s="3"/>
    </row>
    <row r="932" ht="15.75" customHeight="1">
      <c r="B932" s="3"/>
      <c r="C932" s="3"/>
      <c r="D932" s="3"/>
      <c r="E932" s="3"/>
    </row>
    <row r="933" ht="15.75" customHeight="1">
      <c r="B933" s="3"/>
      <c r="C933" s="3"/>
      <c r="D933" s="3"/>
      <c r="E933" s="3"/>
    </row>
    <row r="934" ht="15.75" customHeight="1">
      <c r="B934" s="3"/>
      <c r="C934" s="3"/>
      <c r="D934" s="3"/>
      <c r="E934" s="3"/>
    </row>
    <row r="935" ht="15.75" customHeight="1">
      <c r="B935" s="3"/>
      <c r="C935" s="3"/>
      <c r="D935" s="3"/>
      <c r="E935" s="3"/>
    </row>
    <row r="936" ht="15.75" customHeight="1">
      <c r="B936" s="3"/>
      <c r="C936" s="3"/>
      <c r="D936" s="3"/>
      <c r="E936" s="3"/>
    </row>
    <row r="937" ht="15.75" customHeight="1">
      <c r="B937" s="3"/>
      <c r="C937" s="3"/>
      <c r="D937" s="3"/>
      <c r="E937" s="3"/>
    </row>
    <row r="938" ht="15.75" customHeight="1">
      <c r="B938" s="3"/>
      <c r="C938" s="3"/>
      <c r="D938" s="3"/>
      <c r="E938" s="3"/>
    </row>
    <row r="939" ht="15.75" customHeight="1">
      <c r="B939" s="3"/>
      <c r="C939" s="3"/>
      <c r="D939" s="3"/>
      <c r="E939" s="3"/>
    </row>
    <row r="940" ht="15.75" customHeight="1">
      <c r="B940" s="3"/>
      <c r="C940" s="3"/>
      <c r="D940" s="3"/>
      <c r="E940" s="3"/>
    </row>
    <row r="941" ht="15.75" customHeight="1">
      <c r="B941" s="3"/>
      <c r="C941" s="3"/>
      <c r="D941" s="3"/>
      <c r="E941" s="3"/>
    </row>
    <row r="942" ht="15.75" customHeight="1">
      <c r="B942" s="3"/>
      <c r="C942" s="3"/>
      <c r="D942" s="3"/>
      <c r="E942" s="3"/>
    </row>
    <row r="943" ht="15.75" customHeight="1">
      <c r="B943" s="3"/>
      <c r="C943" s="3"/>
      <c r="D943" s="3"/>
      <c r="E943" s="3"/>
    </row>
    <row r="944" ht="15.75" customHeight="1">
      <c r="B944" s="3"/>
      <c r="C944" s="3"/>
      <c r="D944" s="3"/>
      <c r="E944" s="3"/>
    </row>
    <row r="945" ht="15.75" customHeight="1">
      <c r="B945" s="3"/>
      <c r="C945" s="3"/>
      <c r="D945" s="3"/>
      <c r="E945" s="3"/>
    </row>
    <row r="946" ht="15.75" customHeight="1">
      <c r="B946" s="3"/>
      <c r="C946" s="3"/>
      <c r="D946" s="3"/>
      <c r="E946" s="3"/>
    </row>
    <row r="947" ht="15.75" customHeight="1">
      <c r="B947" s="3"/>
      <c r="C947" s="3"/>
      <c r="D947" s="3"/>
      <c r="E947" s="3"/>
    </row>
    <row r="948" ht="15.75" customHeight="1">
      <c r="B948" s="3"/>
      <c r="C948" s="3"/>
      <c r="D948" s="3"/>
      <c r="E948" s="3"/>
    </row>
    <row r="949" ht="15.75" customHeight="1">
      <c r="B949" s="3"/>
      <c r="C949" s="3"/>
      <c r="D949" s="3"/>
      <c r="E949" s="3"/>
    </row>
    <row r="950" ht="15.75" customHeight="1">
      <c r="B950" s="3"/>
      <c r="C950" s="3"/>
      <c r="D950" s="3"/>
      <c r="E950" s="3"/>
    </row>
    <row r="951" ht="15.75" customHeight="1">
      <c r="B951" s="3"/>
      <c r="C951" s="3"/>
      <c r="D951" s="3"/>
      <c r="E951" s="3"/>
    </row>
    <row r="952" ht="15.75" customHeight="1">
      <c r="B952" s="3"/>
      <c r="C952" s="3"/>
      <c r="D952" s="3"/>
      <c r="E952" s="3"/>
    </row>
    <row r="953" ht="15.75" customHeight="1">
      <c r="B953" s="3"/>
      <c r="C953" s="3"/>
      <c r="D953" s="3"/>
      <c r="E953" s="3"/>
    </row>
    <row r="954" ht="15.75" customHeight="1">
      <c r="B954" s="3"/>
      <c r="C954" s="3"/>
      <c r="D954" s="3"/>
      <c r="E954" s="3"/>
    </row>
    <row r="955" ht="15.75" customHeight="1">
      <c r="B955" s="3"/>
      <c r="C955" s="3"/>
      <c r="D955" s="3"/>
      <c r="E955" s="3"/>
    </row>
    <row r="956" ht="15.75" customHeight="1">
      <c r="B956" s="3"/>
      <c r="C956" s="3"/>
      <c r="D956" s="3"/>
      <c r="E956" s="3"/>
    </row>
    <row r="957" ht="15.75" customHeight="1">
      <c r="B957" s="3"/>
      <c r="C957" s="3"/>
      <c r="D957" s="3"/>
      <c r="E957" s="3"/>
    </row>
    <row r="958" ht="15.75" customHeight="1">
      <c r="B958" s="3"/>
      <c r="C958" s="3"/>
      <c r="D958" s="3"/>
      <c r="E958" s="3"/>
    </row>
    <row r="959" ht="15.75" customHeight="1">
      <c r="B959" s="3"/>
      <c r="C959" s="3"/>
      <c r="D959" s="3"/>
      <c r="E959" s="3"/>
    </row>
    <row r="960" ht="15.75" customHeight="1">
      <c r="B960" s="3"/>
      <c r="C960" s="3"/>
      <c r="D960" s="3"/>
      <c r="E960" s="3"/>
    </row>
    <row r="961" ht="15.75" customHeight="1">
      <c r="B961" s="3"/>
      <c r="C961" s="3"/>
      <c r="D961" s="3"/>
      <c r="E961" s="3"/>
    </row>
    <row r="962" ht="15.75" customHeight="1">
      <c r="B962" s="3"/>
      <c r="C962" s="3"/>
      <c r="D962" s="3"/>
      <c r="E962" s="3"/>
    </row>
    <row r="963" ht="15.75" customHeight="1">
      <c r="B963" s="3"/>
      <c r="C963" s="3"/>
      <c r="D963" s="3"/>
      <c r="E963" s="3"/>
    </row>
    <row r="964" ht="15.75" customHeight="1">
      <c r="B964" s="3"/>
      <c r="C964" s="3"/>
      <c r="D964" s="3"/>
      <c r="E964" s="3"/>
    </row>
    <row r="965" ht="15.75" customHeight="1">
      <c r="B965" s="3"/>
      <c r="C965" s="3"/>
      <c r="D965" s="3"/>
      <c r="E965" s="3"/>
    </row>
    <row r="966" ht="15.75" customHeight="1">
      <c r="B966" s="3"/>
      <c r="C966" s="3"/>
      <c r="D966" s="3"/>
      <c r="E966" s="3"/>
    </row>
    <row r="967" ht="15.75" customHeight="1">
      <c r="B967" s="3"/>
      <c r="C967" s="3"/>
      <c r="D967" s="3"/>
      <c r="E967" s="3"/>
    </row>
    <row r="968" ht="15.75" customHeight="1">
      <c r="B968" s="3"/>
      <c r="C968" s="3"/>
      <c r="D968" s="3"/>
      <c r="E968" s="3"/>
    </row>
    <row r="969" ht="15.75" customHeight="1">
      <c r="B969" s="3"/>
      <c r="C969" s="3"/>
      <c r="D969" s="3"/>
      <c r="E969" s="3"/>
    </row>
    <row r="970" ht="15.75" customHeight="1">
      <c r="B970" s="3"/>
      <c r="C970" s="3"/>
      <c r="D970" s="3"/>
      <c r="E970" s="3"/>
    </row>
    <row r="971" ht="15.75" customHeight="1">
      <c r="B971" s="3"/>
      <c r="C971" s="3"/>
      <c r="D971" s="3"/>
      <c r="E971" s="3"/>
    </row>
    <row r="972" ht="15.75" customHeight="1">
      <c r="B972" s="3"/>
      <c r="C972" s="3"/>
      <c r="D972" s="3"/>
      <c r="E972" s="3"/>
    </row>
    <row r="973" ht="15.75" customHeight="1">
      <c r="B973" s="3"/>
      <c r="C973" s="3"/>
      <c r="D973" s="3"/>
      <c r="E973" s="3"/>
    </row>
    <row r="974" ht="15.75" customHeight="1">
      <c r="B974" s="3"/>
      <c r="C974" s="3"/>
      <c r="D974" s="3"/>
      <c r="E974" s="3"/>
    </row>
    <row r="975" ht="15.75" customHeight="1">
      <c r="B975" s="3"/>
      <c r="C975" s="3"/>
      <c r="D975" s="3"/>
      <c r="E975" s="3"/>
    </row>
    <row r="976" ht="15.75" customHeight="1">
      <c r="B976" s="3"/>
      <c r="C976" s="3"/>
      <c r="D976" s="3"/>
      <c r="E976" s="3"/>
    </row>
    <row r="977" ht="15.75" customHeight="1">
      <c r="B977" s="3"/>
      <c r="C977" s="3"/>
      <c r="D977" s="3"/>
      <c r="E977" s="3"/>
    </row>
    <row r="978" ht="15.75" customHeight="1">
      <c r="B978" s="3"/>
      <c r="C978" s="3"/>
      <c r="D978" s="3"/>
      <c r="E978" s="3"/>
    </row>
    <row r="979" ht="15.75" customHeight="1">
      <c r="B979" s="3"/>
      <c r="C979" s="3"/>
      <c r="D979" s="3"/>
      <c r="E979" s="3"/>
    </row>
    <row r="980" ht="15.75" customHeight="1">
      <c r="B980" s="3"/>
      <c r="C980" s="3"/>
      <c r="D980" s="3"/>
      <c r="E980" s="3"/>
    </row>
    <row r="981" ht="15.75" customHeight="1">
      <c r="B981" s="3"/>
      <c r="C981" s="3"/>
      <c r="D981" s="3"/>
      <c r="E981" s="3"/>
    </row>
    <row r="982" ht="15.75" customHeight="1">
      <c r="B982" s="3"/>
      <c r="C982" s="3"/>
      <c r="D982" s="3"/>
      <c r="E982" s="3"/>
    </row>
    <row r="983" ht="15.75" customHeight="1">
      <c r="B983" s="3"/>
      <c r="C983" s="3"/>
      <c r="D983" s="3"/>
      <c r="E983" s="3"/>
    </row>
    <row r="984" ht="15.75" customHeight="1">
      <c r="B984" s="3"/>
      <c r="C984" s="3"/>
      <c r="D984" s="3"/>
      <c r="E984" s="3"/>
    </row>
    <row r="985" ht="15.75" customHeight="1">
      <c r="B985" s="3"/>
      <c r="C985" s="3"/>
      <c r="D985" s="3"/>
      <c r="E985" s="3"/>
    </row>
    <row r="986" ht="15.75" customHeight="1">
      <c r="B986" s="3"/>
      <c r="C986" s="3"/>
      <c r="D986" s="3"/>
      <c r="E986" s="3"/>
    </row>
    <row r="987" ht="15.75" customHeight="1">
      <c r="B987" s="3"/>
      <c r="C987" s="3"/>
      <c r="D987" s="3"/>
      <c r="E987" s="3"/>
    </row>
    <row r="988" ht="15.75" customHeight="1">
      <c r="B988" s="3"/>
      <c r="C988" s="3"/>
      <c r="D988" s="3"/>
      <c r="E988" s="3"/>
    </row>
    <row r="989" ht="15.75" customHeight="1">
      <c r="B989" s="3"/>
      <c r="C989" s="3"/>
      <c r="D989" s="3"/>
      <c r="E989" s="3"/>
    </row>
    <row r="990" ht="15.75" customHeight="1">
      <c r="B990" s="3"/>
      <c r="C990" s="3"/>
      <c r="D990" s="3"/>
      <c r="E990" s="3"/>
    </row>
    <row r="991" ht="15.75" customHeight="1">
      <c r="B991" s="3"/>
      <c r="C991" s="3"/>
      <c r="D991" s="3"/>
      <c r="E991" s="3"/>
    </row>
    <row r="992" ht="15.75" customHeight="1">
      <c r="B992" s="3"/>
      <c r="C992" s="3"/>
      <c r="D992" s="3"/>
      <c r="E992" s="3"/>
    </row>
    <row r="993" ht="15.75" customHeight="1">
      <c r="B993" s="3"/>
      <c r="C993" s="3"/>
      <c r="D993" s="3"/>
      <c r="E993" s="3"/>
    </row>
    <row r="994" ht="15.75" customHeight="1">
      <c r="B994" s="3"/>
      <c r="C994" s="3"/>
      <c r="D994" s="3"/>
      <c r="E994" s="3"/>
    </row>
    <row r="995" ht="15.75" customHeight="1">
      <c r="B995" s="3"/>
      <c r="C995" s="3"/>
      <c r="D995" s="3"/>
      <c r="E995" s="3"/>
    </row>
    <row r="996" ht="15.75" customHeight="1">
      <c r="B996" s="3"/>
      <c r="C996" s="3"/>
      <c r="D996" s="3"/>
      <c r="E996" s="3"/>
    </row>
    <row r="997" ht="15.75" customHeight="1">
      <c r="B997" s="3"/>
      <c r="C997" s="3"/>
      <c r="D997" s="3"/>
      <c r="E997" s="3"/>
    </row>
    <row r="998" ht="15.75" customHeight="1">
      <c r="B998" s="3"/>
      <c r="C998" s="3"/>
      <c r="D998" s="3"/>
      <c r="E998" s="3"/>
    </row>
    <row r="999" ht="15.75" customHeight="1">
      <c r="B999" s="3"/>
      <c r="C999" s="3"/>
      <c r="D999" s="3"/>
      <c r="E999" s="3"/>
    </row>
    <row r="1000" ht="15.75" customHeight="1">
      <c r="B1000" s="3"/>
      <c r="C1000" s="3"/>
      <c r="D1000" s="3"/>
      <c r="E1000" s="3"/>
    </row>
  </sheetData>
  <mergeCells count="10">
    <mergeCell ref="A27:A28"/>
    <mergeCell ref="A29:A31"/>
    <mergeCell ref="A32:A33"/>
    <mergeCell ref="A3:A6"/>
    <mergeCell ref="A7:A10"/>
    <mergeCell ref="A11:A14"/>
    <mergeCell ref="A15:A18"/>
    <mergeCell ref="A19:A22"/>
    <mergeCell ref="A23:A26"/>
    <mergeCell ref="A34:A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2026-09-22T21:13:58Z</dcterms:created>
  <dc:creator>openpyxl</dc:creator>
</cp:coreProperties>
</file>